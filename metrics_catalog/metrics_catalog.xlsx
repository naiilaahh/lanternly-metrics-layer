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talog" sheetId="2" state="visible" r:id="rId4"/>
    <sheet name="Governance Matrix" sheetId="3" state="visible" r:id="rId5"/>
    <sheet name="Change Approvals" sheetId="4" state="visible" r:id="rId6"/>
    <sheet name="Logic Rules" sheetId="5" state="visible" r:id="rId7"/>
    <sheet name="Linea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<sst xmlns="http://schemas.openxmlformats.org/spreadsheetml/2006/main" count="1001" uniqueCount="413">
  <si>
    <t xml:space="preserve">Lanternly Metrics Catalog</t>
  </si>
  <si>
    <t xml:space="preserve">Generated from models/semantic/_metrics.yml by scripts/build_metrics_catalog.py. Do not edit by hand: change the YAML through a metric change request (RFC-0001).</t>
  </si>
  <si>
    <t xml:space="preserve">Status</t>
  </si>
  <si>
    <t xml:space="preserve">Metrics</t>
  </si>
  <si>
    <t xml:space="preserve">Certified</t>
  </si>
  <si>
    <t xml:space="preserve">Beta</t>
  </si>
  <si>
    <t xml:space="preserve">Deprecated</t>
  </si>
  <si>
    <t xml:space="preserve">Total</t>
  </si>
  <si>
    <t xml:space="preserve">Tier</t>
  </si>
  <si>
    <t xml:space="preserve">Of which certified</t>
  </si>
  <si>
    <t xml:space="preserve">Tier 1 · Board</t>
  </si>
  <si>
    <t xml:space="preserve">Tier 2 · Operating</t>
  </si>
  <si>
    <t xml:space="preserve">Tier 3 · Component</t>
  </si>
  <si>
    <t xml:space="preserve">Domain</t>
  </si>
  <si>
    <t xml:space="preserve">Recurring revenue</t>
  </si>
  <si>
    <t xml:space="preserve">Customers &amp; retention</t>
  </si>
  <si>
    <t xml:space="preserve">Revenue &amp; margin</t>
  </si>
  <si>
    <t xml:space="preserve">Unit economics</t>
  </si>
  <si>
    <t xml:space="preserve">Product engagement</t>
  </si>
  <si>
    <t xml:space="preserve">Metric</t>
  </si>
  <si>
    <t xml:space="preserve">Label</t>
  </si>
  <si>
    <t xml:space="preserve">Version</t>
  </si>
  <si>
    <t xml:space="preserve">Business definition</t>
  </si>
  <si>
    <t xml:space="preserve">Formula</t>
  </si>
  <si>
    <t xml:space="preserve">Type</t>
  </si>
  <si>
    <t xml:space="preserve">Business owner</t>
  </si>
  <si>
    <t xml:space="preserve">Data steward</t>
  </si>
  <si>
    <t xml:space="preserve">Refresh / SLA</t>
  </si>
  <si>
    <t xml:space="preserve">Logic rules</t>
  </si>
  <si>
    <t xml:space="preserve">Semantic models</t>
  </si>
  <si>
    <t xml:space="preserve">dbt models</t>
  </si>
  <si>
    <t xml:space="preserve">Consumers</t>
  </si>
  <si>
    <t xml:space="preserve">Certified on</t>
  </si>
  <si>
    <t xml:space="preserve">Next review</t>
  </si>
  <si>
    <t xml:space="preserve">Deprecated on</t>
  </si>
  <si>
    <t xml:space="preserve">Sunset on</t>
  </si>
  <si>
    <t xml:space="preserve">Replaced by</t>
  </si>
  <si>
    <t xml:space="preserve">Known limitations</t>
  </si>
  <si>
    <t xml:space="preserve">arr</t>
  </si>
  <si>
    <t xml:space="preserve">Annual Recurring Revenue (ARR)</t>
  </si>
  <si>
    <t xml:space="preserve">certified</t>
  </si>
  <si>
    <t xml:space="preserve">2.1.0</t>
  </si>
  <si>
    <t xml:space="preserve">MRR x 12. A run-rate, not a forecast or a bookings number. Multi-year ramps use the CURRENT year's price.</t>
  </si>
  <si>
    <t xml:space="preserve">mrr x 12</t>
  </si>
  <si>
    <t xml:space="preserve">simple</t>
  </si>
  <si>
    <t xml:space="preserve">VP Finance (FP&amp;A)</t>
  </si>
  <si>
    <t xml:space="preserve">Analytics Engineering, Finance pod</t>
  </si>
  <si>
    <t xml:space="preserve">Daily 06:00 UTC; a month locks on business day 5 after close</t>
  </si>
  <si>
    <t xml:space="preserve">MLR-001, MLR-004, MLR-005, MLR-006</t>
  </si>
  <si>
    <t xml:space="preserve">mrr_snapshots</t>
  </si>
  <si>
    <t xml:space="preserve">fct_mrr</t>
  </si>
  <si>
    <t xml:space="preserve">Board pack; Investor update; Executive KPI dashboard</t>
  </si>
  <si>
    <t xml:space="preserve">2026-03-02</t>
  </si>
  <si>
    <t xml:space="preserve">2027-03-02</t>
  </si>
  <si>
    <t xml:space="preserve">mrr</t>
  </si>
  <si>
    <t xml:space="preserve">Monthly Recurring Revenue (MRR)</t>
  </si>
  <si>
    <t xml:space="preserve">Contracted recurring revenue in force at month end, normalised to one month, net of recurring discounts, in constant currency. Excludes one-time services, usage overage, taxes, and free plans. Not affected by invoices or refunds.</t>
  </si>
  <si>
    <t xml:space="preserve">SUM(month-end mrr_local x planning FX rate) over active subscription versions</t>
  </si>
  <si>
    <t xml:space="preserve">MLR-001, MLR-004, MLR-005, MLR-006, MLR-010</t>
  </si>
  <si>
    <t xml:space="preserve">Board pack; Executive KPI dashboard; Salesforce ARR sync</t>
  </si>
  <si>
    <t xml:space="preserve">net_new_mrr</t>
  </si>
  <si>
    <t xml:space="preserve">Net New MRR</t>
  </si>
  <si>
    <t xml:space="preserve">2.0.0</t>
  </si>
  <si>
    <t xml:space="preserve">New + expansion + reactivation - contraction - churn. FX rebasing is excluded on purpose (MLR-006), so closing MRR = opening MRR + FX rebase + net new MRR.</t>
  </si>
  <si>
    <t xml:space="preserve">new_mrr + expansion_mrr + reactivation_mrr - contraction_mrr - churned_mrr</t>
  </si>
  <si>
    <t xml:space="preserve">derived</t>
  </si>
  <si>
    <t xml:space="preserve">Daily 06:00 UTC</t>
  </si>
  <si>
    <t xml:space="preserve">MLR-005, MLR-006</t>
  </si>
  <si>
    <t xml:space="preserve">Board pack; MRR waterfall</t>
  </si>
  <si>
    <t xml:space="preserve">churned_mrr</t>
  </si>
  <si>
    <t xml:space="preserve">Churned MRR</t>
  </si>
  <si>
    <t xml:space="preserve">Previous-month MRR of accounts whose MRR fell to zero. Recorded in the month the contract ends, not the month a refund is paid.</t>
  </si>
  <si>
    <t xml:space="preserve">SUM(prev_mrr) where prev_mrr &gt; 0 and mrr = 0</t>
  </si>
  <si>
    <t xml:space="preserve">VP Customer Success</t>
  </si>
  <si>
    <t xml:space="preserve">MLR-001, MLR-005</t>
  </si>
  <si>
    <t xml:space="preserve">MRR waterfall; Customer health dashboard</t>
  </si>
  <si>
    <t xml:space="preserve">contraction_mrr</t>
  </si>
  <si>
    <t xml:space="preserve">Contraction MRR</t>
  </si>
  <si>
    <t xml:space="preserve">Month-over-month MRR decrease from accounts that are still paying. Reported as a positive number.</t>
  </si>
  <si>
    <t xml:space="preserve">SUM(prev_mrr - mrr) where both &gt; 0 and mrr &lt; prev_mrr</t>
  </si>
  <si>
    <t xml:space="preserve">expansion_mrr</t>
  </si>
  <si>
    <t xml:space="preserve">Expansion MRR</t>
  </si>
  <si>
    <t xml:space="preserve">Month-over-month MRR increase from existing paying accounts (seats, plan upgrades, price increases).</t>
  </si>
  <si>
    <t xml:space="preserve">SUM(mrr - prev_mrr) where both &gt; 0 and mrr &gt; prev_mrr, both valued at the current planning rate</t>
  </si>
  <si>
    <t xml:space="preserve">CRO (Revenue Operations)</t>
  </si>
  <si>
    <t xml:space="preserve">MRR waterfall; Account management dashboard</t>
  </si>
  <si>
    <t xml:space="preserve">new_mrr</t>
  </si>
  <si>
    <t xml:space="preserve">New MRR</t>
  </si>
  <si>
    <t xml:space="preserve">MRR from accounts paying for the first time this month, including free-to-paid conversions.</t>
  </si>
  <si>
    <t xml:space="preserve">SUM(mrr) where previous month MRR = 0 and the account has never paid before</t>
  </si>
  <si>
    <t xml:space="preserve">MLR-005, MLR-016</t>
  </si>
  <si>
    <t xml:space="preserve">MRR waterfall; Sales performance dashboard</t>
  </si>
  <si>
    <t xml:space="preserve">reactivation_mrr</t>
  </si>
  <si>
    <t xml:space="preserve">Reactivation MRR</t>
  </si>
  <si>
    <t xml:space="preserve">MRR from previously churned accounts that start paying again. Kept separate from New MRR so win-backs do not inflate acquisition.</t>
  </si>
  <si>
    <t xml:space="preserve">SUM(mrr) where prev_mrr = 0 and the account paid in any earlier month</t>
  </si>
  <si>
    <t xml:space="preserve">MRR waterfall</t>
  </si>
  <si>
    <t xml:space="preserve">saas_quick_ratio</t>
  </si>
  <si>
    <t xml:space="preserve">SaaS Quick Ratio</t>
  </si>
  <si>
    <t xml:space="preserve">beta</t>
  </si>
  <si>
    <t xml:space="preserve">0.2.0</t>
  </si>
  <si>
    <t xml:space="preserve">(New + expansion + reactivation MRR) / (contraction + churned MRR). Growth efficiency; above 4 is strong.</t>
  </si>
  <si>
    <t xml:space="preserve">(new + expansion + reactivation) / (contraction + churn)</t>
  </si>
  <si>
    <t xml:space="preserve">MLR-005</t>
  </si>
  <si>
    <t xml:space="preserve">Finance sandbox</t>
  </si>
  <si>
    <t xml:space="preserve">2026-12-01</t>
  </si>
  <si>
    <t xml:space="preserve">active_customers</t>
  </si>
  <si>
    <t xml:space="preserve">Active Customers</t>
  </si>
  <si>
    <t xml:space="preserve">1.3.0</t>
  </si>
  <si>
    <t xml:space="preserve">Accounts with MRR &gt; 0 at month end. Free-plan and test accounts are never customers.</t>
  </si>
  <si>
    <t xml:space="preserve">COUNT(accounts) where month-end mrr &gt; 0</t>
  </si>
  <si>
    <t xml:space="preserve">MLR-005, MLR-010, MLR-016</t>
  </si>
  <si>
    <t xml:space="preserve">Board pack; Executive KPI dashboard</t>
  </si>
  <si>
    <t xml:space="preserve">gross_revenue_retention</t>
  </si>
  <si>
    <t xml:space="preserve">Gross Revenue Retention (GRR, trailing 12 months)</t>
  </si>
  <si>
    <t xml:space="preserve">Like NRR, but each account's current MRR is capped at its starting MRR, so expansion cannot hide churn. Always &lt;= 100% and &lt;= NRR.</t>
  </si>
  <si>
    <t xml:space="preserve">SUM(LEAST(current MRR, starting MRR)) / SUM(starting MRR)</t>
  </si>
  <si>
    <t xml:space="preserve">ratio</t>
  </si>
  <si>
    <t xml:space="preserve">MLR-006, MLR-007</t>
  </si>
  <si>
    <t xml:space="preserve">retention_cohorts</t>
  </si>
  <si>
    <t xml:space="preserve">fct_retention_12m</t>
  </si>
  <si>
    <t xml:space="preserve">Board pack; Investor update</t>
  </si>
  <si>
    <t xml:space="preserve">2026-04-15</t>
  </si>
  <si>
    <t xml:space="preserve">2027-04-15</t>
  </si>
  <si>
    <t xml:space="preserve">logo_churn_rate</t>
  </si>
  <si>
    <t xml:space="preserve">Logo Churn Rate (monthly)</t>
  </si>
  <si>
    <t xml:space="preserve">3.0.0</t>
  </si>
  <si>
    <t xml:space="preserve">Churned customers / customers at the start of the month. Queried at a coarser grain it returns the customer-weighted AVERAGE MONTHLY rate (sum of churned / sum of starting customers), never a compounded annual rate.</t>
  </si>
  <si>
    <t xml:space="preserve">churned_customers / customers paying at end of previous month</t>
  </si>
  <si>
    <t xml:space="preserve">MLR-005, MLR-007</t>
  </si>
  <si>
    <t xml:space="preserve">Board pack; Customer health dashboard; LTV</t>
  </si>
  <si>
    <t xml:space="preserve">net_revenue_retention</t>
  </si>
  <si>
    <t xml:space="preserve">Net Revenue Retention (NRR, trailing 12 months)</t>
  </si>
  <si>
    <t xml:space="preserve">Current MRR of the accounts that were paying 12 months ago, divided by their MRR 12 months ago. Includes expansion, contraction, churn and win-backs inside the window; excludes accounts acquired during the window.</t>
  </si>
  <si>
    <t xml:space="preserve">SUM(cohort current MRR) / SUM(cohort MRR 12 months ago)</t>
  </si>
  <si>
    <t xml:space="preserve">Board pack; Investor update; Customer health dashboard</t>
  </si>
  <si>
    <t xml:space="preserve">arpa</t>
  </si>
  <si>
    <t xml:space="preserve">Average Revenue per Account (ARPA)</t>
  </si>
  <si>
    <t xml:space="preserve">1.1.0</t>
  </si>
  <si>
    <t xml:space="preserve">MRR / active customers at month end.</t>
  </si>
  <si>
    <t xml:space="preserve">mrr / active_customers</t>
  </si>
  <si>
    <t xml:space="preserve">MLR-005, MLR-010</t>
  </si>
  <si>
    <t xml:space="preserve">Pricing reviews; LTV</t>
  </si>
  <si>
    <t xml:space="preserve">churned_customers</t>
  </si>
  <si>
    <t xml:space="preserve">Churned Customers</t>
  </si>
  <si>
    <t xml:space="preserve">Accounts that were paying last month and are not paying this month.</t>
  </si>
  <si>
    <t xml:space="preserve">COUNT(accounts) with movement_type = 'churn'</t>
  </si>
  <si>
    <t xml:space="preserve">Customer health dashboard</t>
  </si>
  <si>
    <t xml:space="preserve">new_customers</t>
  </si>
  <si>
    <t xml:space="preserve">New Customers</t>
  </si>
  <si>
    <t xml:space="preserve">Accounts paying for the first time this month. Denominator of CAC.</t>
  </si>
  <si>
    <t xml:space="preserve">COUNT(accounts) with movement_type = 'new'</t>
  </si>
  <si>
    <t xml:space="preserve">MLR-016</t>
  </si>
  <si>
    <t xml:space="preserve">Sales performance dashboard; CAC</t>
  </si>
  <si>
    <t xml:space="preserve">retention_cohort_current_mrr</t>
  </si>
  <si>
    <t xml:space="preserve">Retention Cohort Current MRR</t>
  </si>
  <si>
    <t xml:space="preserve">1.0.0</t>
  </si>
  <si>
    <t xml:space="preserve">Current MRR of the accounts that were paying twelve months ago. Numerator of NRR.</t>
  </si>
  <si>
    <t xml:space="preserve">SUM(cohort MRR at month M)</t>
  </si>
  <si>
    <t xml:space="preserve">NRR</t>
  </si>
  <si>
    <t xml:space="preserve">retention_cohort_retained_mrr</t>
  </si>
  <si>
    <t xml:space="preserve">Retention Cohort Retained MRR (capped)</t>
  </si>
  <si>
    <t xml:space="preserve">Current cohort MRR with each account capped at its starting MRR. Numerator of GRR.</t>
  </si>
  <si>
    <t xml:space="preserve">SUM(LEAST(current MRR, starting MRR))</t>
  </si>
  <si>
    <t xml:space="preserve">GRR</t>
  </si>
  <si>
    <t xml:space="preserve">retention_cohort_starting_mrr</t>
  </si>
  <si>
    <t xml:space="preserve">Retention Cohort Starting MRR</t>
  </si>
  <si>
    <t xml:space="preserve">MRR twelve months ago of the accounts paying twelve months ago. Denominator of NRR and GRR.</t>
  </si>
  <si>
    <t xml:space="preserve">SUM(cohort MRR at M-12, valued at month M planning rate)</t>
  </si>
  <si>
    <t xml:space="preserve">NRR; GRR</t>
  </si>
  <si>
    <t xml:space="preserve">starting_customers</t>
  </si>
  <si>
    <t xml:space="preserve">Starting Customers</t>
  </si>
  <si>
    <t xml:space="preserve">Customers paying at the end of the previous month. Denominator of logo churn rate.</t>
  </si>
  <si>
    <t xml:space="preserve">COUNT(accounts) with previous month-end mrr &gt; 0</t>
  </si>
  <si>
    <t xml:space="preserve">Logo churn rate</t>
  </si>
  <si>
    <t xml:space="preserve">gross_margin_pct</t>
  </si>
  <si>
    <t xml:space="preserve">Gross Margin %</t>
  </si>
  <si>
    <t xml:space="preserve">(Net revenue - COGS) / net revenue.</t>
  </si>
  <si>
    <t xml:space="preserve">(net_revenue - cogs) / net_revenue</t>
  </si>
  <si>
    <t xml:space="preserve">CFO</t>
  </si>
  <si>
    <t xml:space="preserve">Monthly, after close</t>
  </si>
  <si>
    <t xml:space="preserve">MLR-002, MLR-004</t>
  </si>
  <si>
    <t xml:space="preserve">revenue, company_costs</t>
  </si>
  <si>
    <t xml:space="preserve">fct_revenue_monthly, fct_company_costs_monthly</t>
  </si>
  <si>
    <t xml:space="preserve">Board pack; CAC payback; LTV</t>
  </si>
  <si>
    <t xml:space="preserve">2026-01-12</t>
  </si>
  <si>
    <t xml:space="preserve">2027-01-12</t>
  </si>
  <si>
    <t xml:space="preserve">net_revenue</t>
  </si>
  <si>
    <t xml:space="preserve">Net Revenue (recognised)</t>
  </si>
  <si>
    <t xml:space="preserve">Recognised revenue: ratable recurring revenue + onboarding services + usage overage, minus service credits, at actual FX rates. Annual prepayments are spread over the term. Refunds reduce revenue only when they are concessions (service credits).</t>
  </si>
  <si>
    <t xml:space="preserve">recognised recurring + non-recurring - service credits (actual FX)</t>
  </si>
  <si>
    <t xml:space="preserve">Corporate Controller</t>
  </si>
  <si>
    <t xml:space="preserve">MLR-001, MLR-002, MLR-003, MLR-004, MLR-006</t>
  </si>
  <si>
    <t xml:space="preserve">revenue</t>
  </si>
  <si>
    <t xml:space="preserve">fct_revenue_monthly</t>
  </si>
  <si>
    <t xml:space="preserve">Board pack; Gross margin; Executive KPI dashboard</t>
  </si>
  <si>
    <t xml:space="preserve">total_revenue_legacy</t>
  </si>
  <si>
    <t xml:space="preserve">Total Revenue (legacy) - DEPRECATED</t>
  </si>
  <si>
    <t xml:space="preserve">deprecated</t>
  </si>
  <si>
    <t xml:space="preserve">1.4.0</t>
  </si>
  <si>
    <t xml:space="preserve">DEPRECATED. Sum of non-void invoice amounts. It counts annual prepayments in the invoice month and ignores refunds, so it spikes in renewal months and overstates revenue. Use net_revenue for revenue and net_billings in Finance tools for cash.</t>
  </si>
  <si>
    <t xml:space="preserve">SUM(invoice amount) where status &lt;&gt; 'void'</t>
  </si>
  <si>
    <t xml:space="preserve">Daily 06:00 UTC (frozen at sunset)</t>
  </si>
  <si>
    <t xml:space="preserve">Legacy Sales Ops dashboard (migration ticket METRIC-112)</t>
  </si>
  <si>
    <t xml:space="preserve">2024-02-01</t>
  </si>
  <si>
    <t xml:space="preserve">2026-07-01</t>
  </si>
  <si>
    <t xml:space="preserve">2026-12-31</t>
  </si>
  <si>
    <t xml:space="preserve">cogs</t>
  </si>
  <si>
    <t xml:space="preserve">Cost of Goods Sold</t>
  </si>
  <si>
    <t xml:space="preserve">Hosting, customer support and third-party API costs.</t>
  </si>
  <si>
    <t xml:space="preserve">SUM(cost lines where cost_type = 'cogs')</t>
  </si>
  <si>
    <t xml:space="preserve">MLR-004</t>
  </si>
  <si>
    <t xml:space="preserve">company_costs</t>
  </si>
  <si>
    <t xml:space="preserve">fct_company_costs_monthly</t>
  </si>
  <si>
    <t xml:space="preserve">Gross margin</t>
  </si>
  <si>
    <t xml:space="preserve">cac</t>
  </si>
  <si>
    <t xml:space="preserve">Customer Acquisition Cost (blended)</t>
  </si>
  <si>
    <t xml:space="preserve">Acquisition spend / new customers. Blended across channels; at quarter grain this is quarter spend / quarter new logos.</t>
  </si>
  <si>
    <t xml:space="preserve">acquisition_cost / new_customers</t>
  </si>
  <si>
    <t xml:space="preserve">MLR-012, MLR-013, MLR-016</t>
  </si>
  <si>
    <t xml:space="preserve">company_costs, mrr_snapshots</t>
  </si>
  <si>
    <t xml:space="preserve">fct_company_costs_monthly, fct_mrr</t>
  </si>
  <si>
    <t xml:space="preserve">Board pack; Marketing efficiency dashboard</t>
  </si>
  <si>
    <t xml:space="preserve">2026-02-09</t>
  </si>
  <si>
    <t xml:space="preserve">2027-02-09</t>
  </si>
  <si>
    <t xml:space="preserve">Channel-level CAC is not certified yet: spend is tagged by channel, accounts by acquisition channel, and the two taxonomies are being reconciled (METRIC-140).</t>
  </si>
  <si>
    <t xml:space="preserve">cac_payback_months</t>
  </si>
  <si>
    <t xml:space="preserve">CAC Payback (months)</t>
  </si>
  <si>
    <t xml:space="preserve">Months of gross-margin-adjusted new-customer MRR needed to recover CAC.</t>
  </si>
  <si>
    <t xml:space="preserve">cac / (new_customer_arpa x gross_margin_pct)</t>
  </si>
  <si>
    <t xml:space="preserve">MLR-012, MLR-013</t>
  </si>
  <si>
    <t xml:space="preserve">company_costs, mrr_snapshots, revenue</t>
  </si>
  <si>
    <t xml:space="preserve">fct_company_costs_monthly, fct_mrr, fct_revenue_monthly</t>
  </si>
  <si>
    <t xml:space="preserve">ltv</t>
  </si>
  <si>
    <t xml:space="preserve">Customer Lifetime Value (LTV)</t>
  </si>
  <si>
    <t xml:space="preserve">ARPA x trailing-3-month gross margin % x expected lifetime, where lifetime = 1 / trailing 6-month average monthly logo churn, capped at 60 months. Point-in-time: a quarter query returns the quarter-end value.</t>
  </si>
  <si>
    <t xml:space="preserve">arpa x gross_margin_pct_t3m x MIN(1 / logo_churn_rate_t6m, 60)</t>
  </si>
  <si>
    <t xml:space="preserve">MLR-013, MLR-014</t>
  </si>
  <si>
    <t xml:space="preserve">unit_economics</t>
  </si>
  <si>
    <t xml:space="preserve">fct_unit_economics_monthly</t>
  </si>
  <si>
    <t xml:space="preserve">ltv_to_cac</t>
  </si>
  <si>
    <t xml:space="preserve">LTV to CAC Ratio</t>
  </si>
  <si>
    <t xml:space="preserve">LTV / trailing-3-month blended CAC. Point-in-time, quarter queries return the quarter-end value.</t>
  </si>
  <si>
    <t xml:space="preserve">ltv / cac_t3m</t>
  </si>
  <si>
    <t xml:space="preserve">MLR-012, MLR-013, MLR-014</t>
  </si>
  <si>
    <t xml:space="preserve">acquisition_cost</t>
  </si>
  <si>
    <t xml:space="preserve">Customer Acquisition Spend</t>
  </si>
  <si>
    <t xml:space="preserve">Sales &amp; marketing spend aimed at winning new logos. Excludes Customer Success and other retention costs.</t>
  </si>
  <si>
    <t xml:space="preserve">SUM(cost lines where cost_type = 'acquisition')</t>
  </si>
  <si>
    <t xml:space="preserve">MLR-012</t>
  </si>
  <si>
    <t xml:space="preserve">CAC</t>
  </si>
  <si>
    <t xml:space="preserve">new_customer_arpa</t>
  </si>
  <si>
    <t xml:space="preserve">New-Customer ARPA</t>
  </si>
  <si>
    <t xml:space="preserve">New MRR / new customers. Component of CAC payback.</t>
  </si>
  <si>
    <t xml:space="preserve">new_mrr / new_customers</t>
  </si>
  <si>
    <t xml:space="preserve">CAC payback</t>
  </si>
  <si>
    <t xml:space="preserve">mau</t>
  </si>
  <si>
    <t xml:space="preserve">Monthly Active Users (rolling 28-day)</t>
  </si>
  <si>
    <t xml:space="preserve">Distinct users with a qualifying event in the 28 local days ending on the date. A month query returns the value on the month's last day.</t>
  </si>
  <si>
    <t xml:space="preserve">COUNT(DISTINCT user_id) over local dates d-27 .. d</t>
  </si>
  <si>
    <t xml:space="preserve">cumulative</t>
  </si>
  <si>
    <t xml:space="preserve">Head of Product Analytics</t>
  </si>
  <si>
    <t xml:space="preserve">Analytics Engineering, Product pod</t>
  </si>
  <si>
    <t xml:space="preserve">Hourly</t>
  </si>
  <si>
    <t xml:space="preserve">MLR-008, MLR-009, MLR-010, MLR-011, MLR-015</t>
  </si>
  <si>
    <t xml:space="preserve">user_activity</t>
  </si>
  <si>
    <t xml:space="preserve">fct_user_activity_daily</t>
  </si>
  <si>
    <t xml:space="preserve">Board pack; Product health dashboard</t>
  </si>
  <si>
    <t xml:space="preserve">2026-05-04</t>
  </si>
  <si>
    <t xml:space="preserve">2027-05-04</t>
  </si>
  <si>
    <t xml:space="preserve">dau</t>
  </si>
  <si>
    <t xml:space="preserve">Daily Active Users (DAU)</t>
  </si>
  <si>
    <t xml:space="preserve">Distinct users with at least one qualifying event on their LOCAL calendar day. Rolled up to a week or month it returns the average daily value.</t>
  </si>
  <si>
    <t xml:space="preserve">AVG over days of COUNT(DISTINCT user_id with a qualifying event on local date)</t>
  </si>
  <si>
    <t xml:space="preserve">MLR-008, MLR-009, MLR-010, MLR-011</t>
  </si>
  <si>
    <t xml:space="preserve">engagement_daily</t>
  </si>
  <si>
    <t xml:space="preserve">fct_engagement_daily</t>
  </si>
  <si>
    <t xml:space="preserve">Product health dashboard; Embedded customer usage page</t>
  </si>
  <si>
    <t xml:space="preserve">stickiness</t>
  </si>
  <si>
    <t xml:space="preserve">Stickiness (DAU / MAU)</t>
  </si>
  <si>
    <t xml:space="preserve">Average DAU over the period / 28-day MAU at period end. At day grain it is exactly DAU / MAU for that day.</t>
  </si>
  <si>
    <t xml:space="preserve">dau / mau</t>
  </si>
  <si>
    <t xml:space="preserve">MLR-008, MLR-015</t>
  </si>
  <si>
    <t xml:space="preserve">engagement_daily, user_activity</t>
  </si>
  <si>
    <t xml:space="preserve">fct_engagement_daily, fct_user_activity_daily</t>
  </si>
  <si>
    <t xml:space="preserve">Product health dashboard</t>
  </si>
  <si>
    <t xml:space="preserve">Accountable (business owner)</t>
  </si>
  <si>
    <t xml:space="preserve">Responsible (data steward)</t>
  </si>
  <si>
    <t xml:space="preserve">Consulted</t>
  </si>
  <si>
    <t xml:space="preserve">Informed</t>
  </si>
  <si>
    <t xml:space="preserve">Tier-1 metrics</t>
  </si>
  <si>
    <t xml:space="preserve">Approval needed for logic change</t>
  </si>
  <si>
    <t xml:space="preserve">CRO (Revenue Operations); VP Customer Success; VP Finance (FP&amp;A)</t>
  </si>
  <si>
    <t xml:space="preserve">Metrics Council (tier-1 changes)</t>
  </si>
  <si>
    <t xml:space="preserve">BI developers, analysts, embedded-app team</t>
  </si>
  <si>
    <t xml:space="preserve">Council + business owner + steward</t>
  </si>
  <si>
    <t xml:space="preserve">CFO; Corporate Controller</t>
  </si>
  <si>
    <t xml:space="preserve">Change type</t>
  </si>
  <si>
    <t xml:space="preserve">Example</t>
  </si>
  <si>
    <t xml:space="preserve">Version bump</t>
  </si>
  <si>
    <t xml:space="preserve">Tier 1 approvers</t>
  </si>
  <si>
    <t xml:space="preserve">Tier 2 approvers</t>
  </si>
  <si>
    <t xml:space="preserve">Tier 3 approvers</t>
  </si>
  <si>
    <t xml:space="preserve">Notice to consumers</t>
  </si>
  <si>
    <t xml:space="preserve">Logic change that alters history</t>
  </si>
  <si>
    <t xml:space="preserve">Exclude Customer Success from CAC</t>
  </si>
  <si>
    <t xml:space="preserve">MAJOR</t>
  </si>
  <si>
    <t xml:space="preserve">Metrics Council + owner + steward</t>
  </si>
  <si>
    <t xml:space="preserve">Owner + steward</t>
  </si>
  <si>
    <t xml:space="preserve">Steward</t>
  </si>
  <si>
    <t xml:space="preserve">30 days, dual-run 1 close</t>
  </si>
  <si>
    <t xml:space="preserve">New dimension or filter</t>
  </si>
  <si>
    <t xml:space="preserve">Slice NRR by region</t>
  </si>
  <si>
    <t xml:space="preserve">MINOR</t>
  </si>
  <si>
    <t xml:space="preserve">Release notes</t>
  </si>
  <si>
    <t xml:space="preserve">Docs / description only</t>
  </si>
  <si>
    <t xml:space="preserve">Clarify ARR excludes usage</t>
  </si>
  <si>
    <t xml:space="preserve">PATCH</t>
  </si>
  <si>
    <t xml:space="preserve">None</t>
  </si>
  <si>
    <t xml:space="preserve">New metric</t>
  </si>
  <si>
    <t xml:space="preserve">Product-qualified accounts</t>
  </si>
  <si>
    <t xml:space="preserve">0.1.0 (beta)</t>
  </si>
  <si>
    <t xml:space="preserve">Council review to certify</t>
  </si>
  <si>
    <t xml:space="preserve">Catalog entry</t>
  </si>
  <si>
    <t xml:space="preserve">Deprecation</t>
  </si>
  <si>
    <t xml:space="preserve">Retire total_revenue_legacy</t>
  </si>
  <si>
    <t xml:space="preserve">-</t>
  </si>
  <si>
    <t xml:space="preserve">Metrics Council</t>
  </si>
  <si>
    <t xml:space="preserve">Owner</t>
  </si>
  <si>
    <t xml:space="preserve">90 days minimum before sunset</t>
  </si>
  <si>
    <t xml:space="preserve">Rule ID</t>
  </si>
  <si>
    <t xml:space="preserve">Rule</t>
  </si>
  <si>
    <t xml:space="preserve">Implemented in</t>
  </si>
  <si>
    <t xml:space="preserve">Tested by</t>
  </si>
  <si>
    <t xml:space="preserve">MLR-001</t>
  </si>
  <si>
    <t xml:space="preserve">Refunds never change MRR; revenue treatment depends on refund reason</t>
  </si>
  <si>
    <t xml:space="preserve">fct_revenue_monthly, int_account_mrr_monthly</t>
  </si>
  <si>
    <t xml:space="preserve">assert_refunds_never_touch_mrr</t>
  </si>
  <si>
    <t xml:space="preserve">MLR-002</t>
  </si>
  <si>
    <t xml:space="preserve">Revenue is recognised ratably; annual prepayments and prorations are not revenue when billed</t>
  </si>
  <si>
    <t xml:space="preserve">assert_recurring_revenue_within_contract</t>
  </si>
  <si>
    <t xml:space="preserve">MLR-003</t>
  </si>
  <si>
    <t xml:space="preserve">Voided invoices are ignored</t>
  </si>
  <si>
    <t xml:space="preserve">stg_invoice_lines, fct_revenue_monthly</t>
  </si>
  <si>
    <t xml:space="preserve">accepted_values(status)</t>
  </si>
  <si>
    <t xml:space="preserve">Only closed months are reported; closed months are never silently restated</t>
  </si>
  <si>
    <t xml:space="preserve">month_spine macro, var('last_closed_month')</t>
  </si>
  <si>
    <t xml:space="preserve">assert_only_closed_months_reported</t>
  </si>
  <si>
    <t xml:space="preserve">MRR is a month-end snapshot; intra-month changes net out</t>
  </si>
  <si>
    <t xml:space="preserve">int_account_mrr_monthly</t>
  </si>
  <si>
    <t xml:space="preserve">unit test month_end_snapshot_nets_intra_month_changes, assert_mrr_waterfall_reconciles</t>
  </si>
  <si>
    <t xml:space="preserve">MLR-006</t>
  </si>
  <si>
    <t xml:space="preserve">Constant currency for MRR; actual rates for revenue; FX never counts as expansion or contraction</t>
  </si>
  <si>
    <t xml:space="preserve">fct_mrr, fct_retention_12m, fct_revenue_monthly</t>
  </si>
  <si>
    <t xml:space="preserve">unit test mrr_movement_classification, assert_fx_never_booked_as_movement, assert_single_billing_currency_per_account</t>
  </si>
  <si>
    <t xml:space="preserve">MLR-007</t>
  </si>
  <si>
    <t xml:space="preserve">Retention uses a fixed starting cohort; GRR is capped per account</t>
  </si>
  <si>
    <t xml:space="preserve">assert_retention_bounds</t>
  </si>
  <si>
    <t xml:space="preserve">MLR-008</t>
  </si>
  <si>
    <t xml:space="preserve">Activity dates use the user's local time zone (user → account → UTC)</t>
  </si>
  <si>
    <t xml:space="preserve">to_local_date macro, int_user_activity_events</t>
  </si>
  <si>
    <t xml:space="preserve">assert_activity_date_is_user_local</t>
  </si>
  <si>
    <t xml:space="preserve">MLR-009</t>
  </si>
  <si>
    <t xml:space="preserve">Passive events are not activity</t>
  </si>
  <si>
    <t xml:space="preserve">int_user_activity_events, var('passive_event_names')</t>
  </si>
  <si>
    <t xml:space="preserve">assert_passive_events_never_count</t>
  </si>
  <si>
    <t xml:space="preserve">MLR-010</t>
  </si>
  <si>
    <t xml:space="preserve">Test accounts and internal users are excluded once, centrally</t>
  </si>
  <si>
    <t xml:space="preserve">int_accounts_reportable, int_user_activity_events</t>
  </si>
  <si>
    <t xml:space="preserve">assert_no_test_or_internal_records</t>
  </si>
  <si>
    <t xml:space="preserve">MLR-011</t>
  </si>
  <si>
    <t xml:space="preserve">Product events are deduplicated on event_id</t>
  </si>
  <si>
    <t xml:space="preserve">stg_product_events</t>
  </si>
  <si>
    <t xml:space="preserve">unique(event_id)</t>
  </si>
  <si>
    <t xml:space="preserve">CAC includes acquisition spend only; retention costs are excluded</t>
  </si>
  <si>
    <t xml:space="preserve">assert_cac_excludes_retention_costs</t>
  </si>
  <si>
    <t xml:space="preserve">MLR-013</t>
  </si>
  <si>
    <t xml:space="preserve">Board ratios built on noisy monthly inputs use trailing windows</t>
  </si>
  <si>
    <t xml:space="preserve">accepted_range(expected_lifetime_months)</t>
  </si>
  <si>
    <t xml:space="preserve">MLR-014</t>
  </si>
  <si>
    <t xml:space="preserve">LTV lifetime is capped at 60 months</t>
  </si>
  <si>
    <t xml:space="preserve">fct_unit_economics_monthly, var('ltv_max_lifetime_months')</t>
  </si>
  <si>
    <t xml:space="preserve">MLR-015</t>
  </si>
  <si>
    <t xml:space="preserve">MAU is a rolling 28-day window, not a calendar month</t>
  </si>
  <si>
    <t xml:space="preserve">fct_engagement_daily, mau cumulative metric</t>
  </si>
  <si>
    <t xml:space="preserve">expression_is_true(dau &lt;= mau_28d)</t>
  </si>
  <si>
    <t xml:space="preserve">A customer is an account with MRR &gt; 0; free-to-paid is New, win-back is Reactivation</t>
  </si>
  <si>
    <t xml:space="preserve">unit test mrr_movement_classification, assert_customer_count_reconciles</t>
  </si>
  <si>
    <t xml:space="preserve">Measure</t>
  </si>
  <si>
    <t xml:space="preserve">Semantic model</t>
  </si>
  <si>
    <t xml:space="preserve">dbt model</t>
  </si>
  <si>
    <t xml:space="preserve">arr_usd</t>
  </si>
  <si>
    <t xml:space="preserve">mrr_usd</t>
  </si>
  <si>
    <t xml:space="preserve">new_mrr_usd</t>
  </si>
  <si>
    <t xml:space="preserve">expansion_mrr_usd</t>
  </si>
  <si>
    <t xml:space="preserve">reactivation_mrr_usd</t>
  </si>
  <si>
    <t xml:space="preserve">contraction_mrr_usd</t>
  </si>
  <si>
    <t xml:space="preserve">churned_mrr_usd</t>
  </si>
  <si>
    <t xml:space="preserve">active_customer_count</t>
  </si>
  <si>
    <t xml:space="preserve">retention_retained_capped_mrr_usd</t>
  </si>
  <si>
    <t xml:space="preserve">retention_starting_mrr_usd</t>
  </si>
  <si>
    <t xml:space="preserve">churned_customer_count</t>
  </si>
  <si>
    <t xml:space="preserve">starting_customer_count</t>
  </si>
  <si>
    <t xml:space="preserve">retention_current_mrr_usd</t>
  </si>
  <si>
    <t xml:space="preserve">new_customer_count</t>
  </si>
  <si>
    <t xml:space="preserve">net_revenue_usd</t>
  </si>
  <si>
    <t xml:space="preserve">cogs_usd</t>
  </si>
  <si>
    <t xml:space="preserve">gross_billings_usd</t>
  </si>
  <si>
    <t xml:space="preserve">acquisition_cost_usd</t>
  </si>
  <si>
    <t xml:space="preserve">ltv_usd</t>
  </si>
  <si>
    <t xml:space="preserve">ltv_to_cac_ratio</t>
  </si>
  <si>
    <t xml:space="preserve">active_users</t>
  </si>
  <si>
    <t xml:space="preserve">average_dau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</si>
</sst>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FF3E4"/>
        <bgColor rgb="FFCCFFFF"/>
      </patternFill>
    </fill>
    <fill>
      <patternFill patternType="solid">
        <fgColor rgb="FFFFF4CC"/>
        <bgColor rgb="FFFBE3E3"/>
      </patternFill>
    </fill>
    <fill>
      <patternFill patternType="solid">
        <fgColor rgb="FFFBE3E3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BE3E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alog" displayName="Catalog" ref="A1:V34" headerRowCount="1" totalsRowCount="0" totalsRowShown="0">
  <autoFilter ref="A1:V34"/>
  <tableColumns count="22">
    <tableColumn id="1" name="Metric"/>
    <tableColumn id="2" name="Label"/>
    <tableColumn id="3" name="Domain"/>
    <tableColumn id="4" name="Tier"/>
    <tableColumn id="5" name="Status"/>
    <tableColumn id="6" name="Version"/>
    <tableColumn id="7" name="Business definition"/>
    <tableColumn id="8" name="Formula"/>
    <tableColumn id="9" name="Type"/>
    <tableColumn id="10" name="Business owner"/>
    <tableColumn id="11" name="Data steward"/>
    <tableColumn id="12" name="Refresh / SLA"/>
    <tableColumn id="13" name="Logic rules"/>
    <tableColumn id="14" name="Semantic models"/>
    <tableColumn id="15" name="dbt models"/>
    <tableColumn id="16" name="Consumers"/>
    <tableColumn id="17" name="Certified on"/>
    <tableColumn id="18" name="Next review"/>
    <tableColumn id="19" name="Deprecated on"/>
    <tableColumn id="20" name="Sunset on"/>
    <tableColumn id="21" name="Replaced by"/>
    <tableColumn id="22" name="Known limitations"/>
  </tableColumns>
</table>
</file>

<file path=xl/tables/table2.xml><?xml version="1.0" encoding="utf-8"?>
<table xmlns="http://schemas.openxmlformats.org/spreadsheetml/2006/main" id="2" name="ChangeApprovals" displayName="ChangeApprovals" ref="A1:G6" headerRowCount="1" totalsRowCount="0" totalsRowShown="0">
  <autoFilter ref="A1:G6"/>
  <tableColumns count="7">
    <tableColumn id="1" name="Change type"/>
    <tableColumn id="2" name="Example"/>
    <tableColumn id="3" name="Version bump"/>
    <tableColumn id="4" name="Tier 1 approvers"/>
    <tableColumn id="5" name="Tier 2 approvers"/>
    <tableColumn id="6" name="Tier 3 approvers"/>
    <tableColumn id="7" name="Notice to consumers"/>
  </tableColumns>
</table>
</file>

<file path=xl/tables/table3.xml><?xml version="1.0" encoding="utf-8"?>
<table xmlns="http://schemas.openxmlformats.org/spreadsheetml/2006/main" id="3" name="GovernanceMatrix" displayName="GovernanceMatrix" ref="A1:G6" headerRowCount="1" totalsRowCount="0" totalsRowShown="0">
  <autoFilter ref="A1:G6"/>
  <tableColumns count="7">
    <tableColumn id="1" name="Domain"/>
    <tableColumn id="2" name="Accountable (business owner)"/>
    <tableColumn id="3" name="Responsible (data steward)"/>
    <tableColumn id="4" name="Consulted"/>
    <tableColumn id="5" name="Informed"/>
    <tableColumn id="6" name="Tier-1 metrics"/>
    <tableColumn id="7" name="Approval needed for logic change"/>
  </tableColumns>
</table>
</file>

<file path=xl/tables/table4.xml><?xml version="1.0" encoding="utf-8"?>
<table xmlns="http://schemas.openxmlformats.org/spreadsheetml/2006/main" id="4" name="Lineage" displayName="Lineage" ref="A1:D54" headerRowCount="1" totalsRowCount="0" totalsRowShown="0">
  <autoFilter ref="A1:D54"/>
  <tableColumns count="4">
    <tableColumn id="1" name="Metric"/>
    <tableColumn id="2" name="Measure"/>
    <tableColumn id="3" name="Semantic model"/>
    <tableColumn id="4" name="dbt model"/>
  </tableColumns>
</table>
</file>

<file path=xl/tables/table5.xml><?xml version="1.0" encoding="utf-8"?>
<table xmlns="http://schemas.openxmlformats.org/spreadsheetml/2006/main" id="5" name="LogicRules" displayName="LogicRules" ref="A1:D17" headerRowCount="1" totalsRowCount="0" totalsRowShown="0">
  <autoFilter ref="A1:D17"/>
  <tableColumns count="4">
    <tableColumn id="1" name="Rule ID"/>
    <tableColumn id="2" name="Rule"/>
    <tableColumn id="3" name="Implemented in"/>
    <tableColumn id="4" name="Tested b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COUNTIF(Catalog!E:E,"certified")</f>
        <v>31</v>
      </c>
    </row>
    <row r="6" customFormat="false" ht="15" hidden="false" customHeight="false" outlineLevel="0" collapsed="false">
      <c r="A6" s="4" t="s">
        <v>5</v>
      </c>
      <c r="B6" s="4" t="n">
        <f aca="false">COUNTIF(Catalog!E:E,"beta")</f>
        <v>1</v>
      </c>
    </row>
    <row r="7" customFormat="false" ht="15" hidden="false" customHeight="false" outlineLevel="0" collapsed="false">
      <c r="A7" s="4" t="s">
        <v>6</v>
      </c>
      <c r="B7" s="4" t="n">
        <f aca="false">COUNTIF(Catalog!E:E,"deprecated")</f>
        <v>1</v>
      </c>
    </row>
    <row r="8" customFormat="false" ht="15" hidden="false" customHeight="false" outlineLevel="0" collapsed="false">
      <c r="A8" s="5" t="s">
        <v>7</v>
      </c>
      <c r="B8" s="5" t="n">
        <f aca="false">SUM(B5:B7)</f>
        <v>33</v>
      </c>
    </row>
    <row r="10" customFormat="false" ht="15" hidden="false" customHeight="false" outlineLevel="0" collapsed="false">
      <c r="A10" s="3" t="s">
        <v>8</v>
      </c>
      <c r="B10" s="3" t="s">
        <v>3</v>
      </c>
      <c r="C10" s="3" t="s">
        <v>9</v>
      </c>
    </row>
    <row r="11" customFormat="false" ht="15" hidden="false" customHeight="false" outlineLevel="0" collapsed="false">
      <c r="A11" s="4" t="s">
        <v>10</v>
      </c>
      <c r="B11" s="4" t="n">
        <f aca="false">COUNTIF(Catalog!D:D,"Tier 1 · Board")</f>
        <v>14</v>
      </c>
      <c r="C11" s="4" t="n">
        <f aca="false">COUNTIFS(Catalog!D:D,"Tier 1 · Board",Catalog!E:E,"certified")</f>
        <v>14</v>
      </c>
    </row>
    <row r="12" customFormat="false" ht="15" hidden="false" customHeight="false" outlineLevel="0" collapsed="false">
      <c r="A12" s="4" t="s">
        <v>11</v>
      </c>
      <c r="B12" s="4" t="n">
        <f aca="false">COUNTIF(Catalog!D:D,"Tier 2 · Operating")</f>
        <v>11</v>
      </c>
      <c r="C12" s="4" t="n">
        <f aca="false">COUNTIFS(Catalog!D:D,"Tier 2 · Operating",Catalog!E:E,"certified")</f>
        <v>10</v>
      </c>
    </row>
    <row r="13" customFormat="false" ht="15" hidden="false" customHeight="false" outlineLevel="0" collapsed="false">
      <c r="A13" s="4" t="s">
        <v>12</v>
      </c>
      <c r="B13" s="4" t="n">
        <f aca="false">COUNTIF(Catalog!D:D,"Tier 3 · Component")</f>
        <v>8</v>
      </c>
      <c r="C13" s="4" t="n">
        <f aca="false">COUNTIFS(Catalog!D:D,"Tier 3 · Component",Catalog!E:E,"certified")</f>
        <v>7</v>
      </c>
    </row>
    <row r="15" customFormat="false" ht="15" hidden="false" customHeight="false" outlineLevel="0" collapsed="false">
      <c r="A15" s="3" t="s">
        <v>13</v>
      </c>
      <c r="B15" s="3" t="s">
        <v>3</v>
      </c>
    </row>
    <row r="16" customFormat="false" ht="15" hidden="false" customHeight="false" outlineLevel="0" collapsed="false">
      <c r="A16" s="4" t="s">
        <v>14</v>
      </c>
      <c r="B16" s="4" t="n">
        <f aca="false">COUNTIF(Catalog!C:C,"Recurring revenue")</f>
        <v>9</v>
      </c>
    </row>
    <row r="17" customFormat="false" ht="15" hidden="false" customHeight="false" outlineLevel="0" collapsed="false">
      <c r="A17" s="4" t="s">
        <v>15</v>
      </c>
      <c r="B17" s="4" t="n">
        <f aca="false">COUNTIF(Catalog!C:C,"Customers &amp; retention")</f>
        <v>11</v>
      </c>
    </row>
    <row r="18" customFormat="false" ht="15" hidden="false" customHeight="false" outlineLevel="0" collapsed="false">
      <c r="A18" s="4" t="s">
        <v>16</v>
      </c>
      <c r="B18" s="4" t="n">
        <f aca="false">COUNTIF(Catalog!C:C,"Revenue &amp; margin")</f>
        <v>4</v>
      </c>
    </row>
    <row r="19" customFormat="false" ht="15" hidden="false" customHeight="false" outlineLevel="0" collapsed="false">
      <c r="A19" s="4" t="s">
        <v>17</v>
      </c>
      <c r="B19" s="4" t="n">
        <f aca="false">COUNTIF(Catalog!C:C,"Unit economics")</f>
        <v>6</v>
      </c>
    </row>
    <row r="20" customFormat="false" ht="15" hidden="false" customHeight="false" outlineLevel="0" collapsed="false">
      <c r="A20" s="4" t="s">
        <v>18</v>
      </c>
      <c r="B20" s="4" t="n">
        <f aca="false">COUNTIF(Catalog!C:C,"Product engagement")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60"/>
    <col collapsed="false" customWidth="true" hidden="false" outlineLevel="0" max="8" min="8" style="0" width="44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2"/>
    <col collapsed="false" customWidth="true" hidden="false" outlineLevel="0" max="14" min="14" style="0" width="28"/>
    <col collapsed="false" customWidth="true" hidden="false" outlineLevel="0" max="15" min="15" style="0" width="30"/>
    <col collapsed="false" customWidth="true" hidden="false" outlineLevel="0" max="16" min="16" style="0" width="36"/>
    <col collapsed="false" customWidth="true" hidden="false" outlineLevel="0" max="18" min="17" style="0" width="12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40"/>
  </cols>
  <sheetData>
    <row r="1" customFormat="false" ht="30" hidden="false" customHeight="true" outlineLevel="0" collapsed="false">
      <c r="A1" s="6" t="s">
        <v>19</v>
      </c>
      <c r="B1" s="6" t="s">
        <v>20</v>
      </c>
      <c r="C1" s="6" t="s">
        <v>13</v>
      </c>
      <c r="D1" s="6" t="s">
        <v>8</v>
      </c>
      <c r="E1" s="6" t="s">
        <v>2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</row>
    <row r="2" customFormat="false" ht="23.85" hidden="false" customHeight="false" outlineLevel="0" collapsed="false">
      <c r="A2" s="7" t="s">
        <v>38</v>
      </c>
      <c r="B2" s="7" t="s">
        <v>39</v>
      </c>
      <c r="C2" s="7" t="s">
        <v>14</v>
      </c>
      <c r="D2" s="7" t="s">
        <v>10</v>
      </c>
      <c r="E2" s="8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52</v>
      </c>
      <c r="R2" s="7" t="s">
        <v>53</v>
      </c>
      <c r="S2" s="7"/>
      <c r="T2" s="7"/>
      <c r="U2" s="7"/>
      <c r="V2" s="7"/>
    </row>
    <row r="3" customFormat="false" ht="46.25" hidden="false" customHeight="false" outlineLevel="0" collapsed="false">
      <c r="A3" s="7" t="s">
        <v>54</v>
      </c>
      <c r="B3" s="7" t="s">
        <v>55</v>
      </c>
      <c r="C3" s="7" t="s">
        <v>14</v>
      </c>
      <c r="D3" s="7" t="s">
        <v>10</v>
      </c>
      <c r="E3" s="8" t="s">
        <v>40</v>
      </c>
      <c r="F3" s="7" t="s">
        <v>41</v>
      </c>
      <c r="G3" s="7" t="s">
        <v>56</v>
      </c>
      <c r="H3" s="7" t="s">
        <v>57</v>
      </c>
      <c r="I3" s="7" t="s">
        <v>44</v>
      </c>
      <c r="J3" s="7" t="s">
        <v>45</v>
      </c>
      <c r="K3" s="7" t="s">
        <v>46</v>
      </c>
      <c r="L3" s="7" t="s">
        <v>47</v>
      </c>
      <c r="M3" s="7" t="s">
        <v>58</v>
      </c>
      <c r="N3" s="7" t="s">
        <v>49</v>
      </c>
      <c r="O3" s="7" t="s">
        <v>50</v>
      </c>
      <c r="P3" s="7" t="s">
        <v>59</v>
      </c>
      <c r="Q3" s="7" t="s">
        <v>52</v>
      </c>
      <c r="R3" s="7" t="s">
        <v>53</v>
      </c>
      <c r="S3" s="7"/>
      <c r="T3" s="7"/>
      <c r="U3" s="7"/>
      <c r="V3" s="7"/>
    </row>
    <row r="4" customFormat="false" ht="35.05" hidden="false" customHeight="false" outlineLevel="0" collapsed="false">
      <c r="A4" s="7" t="s">
        <v>60</v>
      </c>
      <c r="B4" s="7" t="s">
        <v>61</v>
      </c>
      <c r="C4" s="7" t="s">
        <v>14</v>
      </c>
      <c r="D4" s="7" t="s">
        <v>10</v>
      </c>
      <c r="E4" s="8" t="s">
        <v>40</v>
      </c>
      <c r="F4" s="7" t="s">
        <v>62</v>
      </c>
      <c r="G4" s="7" t="s">
        <v>63</v>
      </c>
      <c r="H4" s="7" t="s">
        <v>64</v>
      </c>
      <c r="I4" s="7" t="s">
        <v>65</v>
      </c>
      <c r="J4" s="7" t="s">
        <v>45</v>
      </c>
      <c r="K4" s="7" t="s">
        <v>46</v>
      </c>
      <c r="L4" s="7" t="s">
        <v>66</v>
      </c>
      <c r="M4" s="7" t="s">
        <v>67</v>
      </c>
      <c r="N4" s="7" t="s">
        <v>49</v>
      </c>
      <c r="O4" s="7" t="s">
        <v>50</v>
      </c>
      <c r="P4" s="7" t="s">
        <v>68</v>
      </c>
      <c r="Q4" s="7" t="s">
        <v>52</v>
      </c>
      <c r="R4" s="7" t="s">
        <v>53</v>
      </c>
      <c r="S4" s="7"/>
      <c r="T4" s="7"/>
      <c r="U4" s="7"/>
      <c r="V4" s="7"/>
    </row>
    <row r="5" customFormat="false" ht="23.85" hidden="false" customHeight="false" outlineLevel="0" collapsed="false">
      <c r="A5" s="7" t="s">
        <v>69</v>
      </c>
      <c r="B5" s="7" t="s">
        <v>70</v>
      </c>
      <c r="C5" s="7" t="s">
        <v>14</v>
      </c>
      <c r="D5" s="7" t="s">
        <v>11</v>
      </c>
      <c r="E5" s="8" t="s">
        <v>40</v>
      </c>
      <c r="F5" s="7" t="s">
        <v>62</v>
      </c>
      <c r="G5" s="7" t="s">
        <v>71</v>
      </c>
      <c r="H5" s="7" t="s">
        <v>72</v>
      </c>
      <c r="I5" s="7" t="s">
        <v>44</v>
      </c>
      <c r="J5" s="7" t="s">
        <v>73</v>
      </c>
      <c r="K5" s="7" t="s">
        <v>46</v>
      </c>
      <c r="L5" s="7" t="s">
        <v>66</v>
      </c>
      <c r="M5" s="7" t="s">
        <v>74</v>
      </c>
      <c r="N5" s="7" t="s">
        <v>49</v>
      </c>
      <c r="O5" s="7" t="s">
        <v>50</v>
      </c>
      <c r="P5" s="7" t="s">
        <v>75</v>
      </c>
      <c r="Q5" s="7" t="s">
        <v>52</v>
      </c>
      <c r="R5" s="7" t="s">
        <v>53</v>
      </c>
      <c r="S5" s="7"/>
      <c r="T5" s="7"/>
      <c r="U5" s="7"/>
      <c r="V5" s="7"/>
    </row>
    <row r="6" customFormat="false" ht="23.85" hidden="false" customHeight="false" outlineLevel="0" collapsed="false">
      <c r="A6" s="7" t="s">
        <v>76</v>
      </c>
      <c r="B6" s="7" t="s">
        <v>77</v>
      </c>
      <c r="C6" s="7" t="s">
        <v>14</v>
      </c>
      <c r="D6" s="7" t="s">
        <v>11</v>
      </c>
      <c r="E6" s="8" t="s">
        <v>40</v>
      </c>
      <c r="F6" s="7" t="s">
        <v>62</v>
      </c>
      <c r="G6" s="7" t="s">
        <v>78</v>
      </c>
      <c r="H6" s="7" t="s">
        <v>79</v>
      </c>
      <c r="I6" s="7" t="s">
        <v>44</v>
      </c>
      <c r="J6" s="7" t="s">
        <v>73</v>
      </c>
      <c r="K6" s="7" t="s">
        <v>46</v>
      </c>
      <c r="L6" s="7" t="s">
        <v>66</v>
      </c>
      <c r="M6" s="7" t="s">
        <v>67</v>
      </c>
      <c r="N6" s="7" t="s">
        <v>49</v>
      </c>
      <c r="O6" s="7" t="s">
        <v>50</v>
      </c>
      <c r="P6" s="7" t="s">
        <v>75</v>
      </c>
      <c r="Q6" s="7" t="s">
        <v>52</v>
      </c>
      <c r="R6" s="7" t="s">
        <v>53</v>
      </c>
      <c r="S6" s="7"/>
      <c r="T6" s="7"/>
      <c r="U6" s="7"/>
      <c r="V6" s="7"/>
    </row>
    <row r="7" customFormat="false" ht="23.85" hidden="false" customHeight="false" outlineLevel="0" collapsed="false">
      <c r="A7" s="7" t="s">
        <v>80</v>
      </c>
      <c r="B7" s="7" t="s">
        <v>81</v>
      </c>
      <c r="C7" s="7" t="s">
        <v>14</v>
      </c>
      <c r="D7" s="7" t="s">
        <v>11</v>
      </c>
      <c r="E7" s="8" t="s">
        <v>40</v>
      </c>
      <c r="F7" s="7" t="s">
        <v>62</v>
      </c>
      <c r="G7" s="7" t="s">
        <v>82</v>
      </c>
      <c r="H7" s="7" t="s">
        <v>83</v>
      </c>
      <c r="I7" s="7" t="s">
        <v>44</v>
      </c>
      <c r="J7" s="7" t="s">
        <v>84</v>
      </c>
      <c r="K7" s="7" t="s">
        <v>46</v>
      </c>
      <c r="L7" s="7" t="s">
        <v>66</v>
      </c>
      <c r="M7" s="7" t="s">
        <v>67</v>
      </c>
      <c r="N7" s="7" t="s">
        <v>49</v>
      </c>
      <c r="O7" s="7" t="s">
        <v>50</v>
      </c>
      <c r="P7" s="7" t="s">
        <v>85</v>
      </c>
      <c r="Q7" s="7" t="s">
        <v>52</v>
      </c>
      <c r="R7" s="7" t="s">
        <v>53</v>
      </c>
      <c r="S7" s="7"/>
      <c r="T7" s="7"/>
      <c r="U7" s="7"/>
      <c r="V7" s="7"/>
    </row>
    <row r="8" customFormat="false" ht="23.85" hidden="false" customHeight="false" outlineLevel="0" collapsed="false">
      <c r="A8" s="7" t="s">
        <v>86</v>
      </c>
      <c r="B8" s="7" t="s">
        <v>87</v>
      </c>
      <c r="C8" s="7" t="s">
        <v>14</v>
      </c>
      <c r="D8" s="7" t="s">
        <v>11</v>
      </c>
      <c r="E8" s="8" t="s">
        <v>40</v>
      </c>
      <c r="F8" s="7" t="s">
        <v>62</v>
      </c>
      <c r="G8" s="7" t="s">
        <v>88</v>
      </c>
      <c r="H8" s="7" t="s">
        <v>89</v>
      </c>
      <c r="I8" s="7" t="s">
        <v>44</v>
      </c>
      <c r="J8" s="7" t="s">
        <v>84</v>
      </c>
      <c r="K8" s="7" t="s">
        <v>46</v>
      </c>
      <c r="L8" s="7" t="s">
        <v>66</v>
      </c>
      <c r="M8" s="7" t="s">
        <v>90</v>
      </c>
      <c r="N8" s="7" t="s">
        <v>49</v>
      </c>
      <c r="O8" s="7" t="s">
        <v>50</v>
      </c>
      <c r="P8" s="7" t="s">
        <v>91</v>
      </c>
      <c r="Q8" s="7" t="s">
        <v>52</v>
      </c>
      <c r="R8" s="7" t="s">
        <v>53</v>
      </c>
      <c r="S8" s="7"/>
      <c r="T8" s="7"/>
      <c r="U8" s="7"/>
      <c r="V8" s="7"/>
    </row>
    <row r="9" customFormat="false" ht="23.85" hidden="false" customHeight="false" outlineLevel="0" collapsed="false">
      <c r="A9" s="7" t="s">
        <v>92</v>
      </c>
      <c r="B9" s="7" t="s">
        <v>93</v>
      </c>
      <c r="C9" s="7" t="s">
        <v>14</v>
      </c>
      <c r="D9" s="7" t="s">
        <v>11</v>
      </c>
      <c r="E9" s="8" t="s">
        <v>40</v>
      </c>
      <c r="F9" s="7" t="s">
        <v>62</v>
      </c>
      <c r="G9" s="7" t="s">
        <v>94</v>
      </c>
      <c r="H9" s="7" t="s">
        <v>95</v>
      </c>
      <c r="I9" s="7" t="s">
        <v>44</v>
      </c>
      <c r="J9" s="7" t="s">
        <v>84</v>
      </c>
      <c r="K9" s="7" t="s">
        <v>46</v>
      </c>
      <c r="L9" s="7" t="s">
        <v>66</v>
      </c>
      <c r="M9" s="7" t="s">
        <v>90</v>
      </c>
      <c r="N9" s="7" t="s">
        <v>49</v>
      </c>
      <c r="O9" s="7" t="s">
        <v>50</v>
      </c>
      <c r="P9" s="7" t="s">
        <v>96</v>
      </c>
      <c r="Q9" s="7" t="s">
        <v>52</v>
      </c>
      <c r="R9" s="7" t="s">
        <v>53</v>
      </c>
      <c r="S9" s="7"/>
      <c r="T9" s="7"/>
      <c r="U9" s="7"/>
      <c r="V9" s="7"/>
    </row>
    <row r="10" customFormat="false" ht="23.85" hidden="false" customHeight="false" outlineLevel="0" collapsed="false">
      <c r="A10" s="7" t="s">
        <v>97</v>
      </c>
      <c r="B10" s="7" t="s">
        <v>98</v>
      </c>
      <c r="C10" s="7" t="s">
        <v>14</v>
      </c>
      <c r="D10" s="7" t="s">
        <v>12</v>
      </c>
      <c r="E10" s="9" t="s">
        <v>99</v>
      </c>
      <c r="F10" s="7" t="s">
        <v>100</v>
      </c>
      <c r="G10" s="7" t="s">
        <v>101</v>
      </c>
      <c r="H10" s="7" t="s">
        <v>102</v>
      </c>
      <c r="I10" s="7" t="s">
        <v>65</v>
      </c>
      <c r="J10" s="7" t="s">
        <v>45</v>
      </c>
      <c r="K10" s="7" t="s">
        <v>46</v>
      </c>
      <c r="L10" s="7" t="s">
        <v>66</v>
      </c>
      <c r="M10" s="7" t="s">
        <v>103</v>
      </c>
      <c r="N10" s="7" t="s">
        <v>49</v>
      </c>
      <c r="O10" s="7" t="s">
        <v>50</v>
      </c>
      <c r="P10" s="7" t="s">
        <v>104</v>
      </c>
      <c r="Q10" s="7"/>
      <c r="R10" s="7" t="s">
        <v>105</v>
      </c>
      <c r="S10" s="7"/>
      <c r="T10" s="7"/>
      <c r="U10" s="7"/>
      <c r="V10" s="7"/>
    </row>
    <row r="11" customFormat="false" ht="23.85" hidden="false" customHeight="false" outlineLevel="0" collapsed="false">
      <c r="A11" s="7" t="s">
        <v>106</v>
      </c>
      <c r="B11" s="7" t="s">
        <v>107</v>
      </c>
      <c r="C11" s="7" t="s">
        <v>15</v>
      </c>
      <c r="D11" s="7" t="s">
        <v>10</v>
      </c>
      <c r="E11" s="8" t="s">
        <v>40</v>
      </c>
      <c r="F11" s="7" t="s">
        <v>108</v>
      </c>
      <c r="G11" s="7" t="s">
        <v>109</v>
      </c>
      <c r="H11" s="7" t="s">
        <v>110</v>
      </c>
      <c r="I11" s="7" t="s">
        <v>44</v>
      </c>
      <c r="J11" s="7" t="s">
        <v>45</v>
      </c>
      <c r="K11" s="7" t="s">
        <v>46</v>
      </c>
      <c r="L11" s="7" t="s">
        <v>66</v>
      </c>
      <c r="M11" s="7" t="s">
        <v>111</v>
      </c>
      <c r="N11" s="7" t="s">
        <v>49</v>
      </c>
      <c r="O11" s="7" t="s">
        <v>50</v>
      </c>
      <c r="P11" s="7" t="s">
        <v>112</v>
      </c>
      <c r="Q11" s="7" t="s">
        <v>52</v>
      </c>
      <c r="R11" s="7" t="s">
        <v>53</v>
      </c>
      <c r="S11" s="7"/>
      <c r="T11" s="7"/>
      <c r="U11" s="7"/>
      <c r="V11" s="7"/>
    </row>
    <row r="12" customFormat="false" ht="23.85" hidden="false" customHeight="false" outlineLevel="0" collapsed="false">
      <c r="A12" s="7" t="s">
        <v>113</v>
      </c>
      <c r="B12" s="7" t="s">
        <v>114</v>
      </c>
      <c r="C12" s="7" t="s">
        <v>15</v>
      </c>
      <c r="D12" s="7" t="s">
        <v>10</v>
      </c>
      <c r="E12" s="8" t="s">
        <v>40</v>
      </c>
      <c r="F12" s="7" t="s">
        <v>62</v>
      </c>
      <c r="G12" s="7" t="s">
        <v>115</v>
      </c>
      <c r="H12" s="7" t="s">
        <v>116</v>
      </c>
      <c r="I12" s="7" t="s">
        <v>117</v>
      </c>
      <c r="J12" s="7" t="s">
        <v>73</v>
      </c>
      <c r="K12" s="7" t="s">
        <v>46</v>
      </c>
      <c r="L12" s="7" t="s">
        <v>66</v>
      </c>
      <c r="M12" s="7" t="s">
        <v>118</v>
      </c>
      <c r="N12" s="7" t="s">
        <v>119</v>
      </c>
      <c r="O12" s="7" t="s">
        <v>120</v>
      </c>
      <c r="P12" s="7" t="s">
        <v>121</v>
      </c>
      <c r="Q12" s="7" t="s">
        <v>122</v>
      </c>
      <c r="R12" s="7" t="s">
        <v>123</v>
      </c>
      <c r="S12" s="7"/>
      <c r="T12" s="7"/>
      <c r="U12" s="7"/>
      <c r="V12" s="7"/>
    </row>
    <row r="13" customFormat="false" ht="46.25" hidden="false" customHeight="false" outlineLevel="0" collapsed="false">
      <c r="A13" s="7" t="s">
        <v>124</v>
      </c>
      <c r="B13" s="7" t="s">
        <v>125</v>
      </c>
      <c r="C13" s="7" t="s">
        <v>15</v>
      </c>
      <c r="D13" s="7" t="s">
        <v>10</v>
      </c>
      <c r="E13" s="8" t="s">
        <v>40</v>
      </c>
      <c r="F13" s="7" t="s">
        <v>126</v>
      </c>
      <c r="G13" s="7" t="s">
        <v>127</v>
      </c>
      <c r="H13" s="7" t="s">
        <v>128</v>
      </c>
      <c r="I13" s="7" t="s">
        <v>117</v>
      </c>
      <c r="J13" s="7" t="s">
        <v>73</v>
      </c>
      <c r="K13" s="7" t="s">
        <v>46</v>
      </c>
      <c r="L13" s="7" t="s">
        <v>66</v>
      </c>
      <c r="M13" s="7" t="s">
        <v>129</v>
      </c>
      <c r="N13" s="7" t="s">
        <v>49</v>
      </c>
      <c r="O13" s="7" t="s">
        <v>50</v>
      </c>
      <c r="P13" s="7" t="s">
        <v>130</v>
      </c>
      <c r="Q13" s="7" t="s">
        <v>52</v>
      </c>
      <c r="R13" s="7" t="s">
        <v>53</v>
      </c>
      <c r="S13" s="7"/>
      <c r="T13" s="7"/>
      <c r="U13" s="7"/>
      <c r="V13" s="7"/>
    </row>
    <row r="14" customFormat="false" ht="46.25" hidden="false" customHeight="false" outlineLevel="0" collapsed="false">
      <c r="A14" s="7" t="s">
        <v>131</v>
      </c>
      <c r="B14" s="7" t="s">
        <v>132</v>
      </c>
      <c r="C14" s="7" t="s">
        <v>15</v>
      </c>
      <c r="D14" s="7" t="s">
        <v>10</v>
      </c>
      <c r="E14" s="8" t="s">
        <v>40</v>
      </c>
      <c r="F14" s="7" t="s">
        <v>62</v>
      </c>
      <c r="G14" s="7" t="s">
        <v>133</v>
      </c>
      <c r="H14" s="7" t="s">
        <v>134</v>
      </c>
      <c r="I14" s="7" t="s">
        <v>117</v>
      </c>
      <c r="J14" s="7" t="s">
        <v>73</v>
      </c>
      <c r="K14" s="7" t="s">
        <v>46</v>
      </c>
      <c r="L14" s="7" t="s">
        <v>66</v>
      </c>
      <c r="M14" s="7" t="s">
        <v>118</v>
      </c>
      <c r="N14" s="7" t="s">
        <v>119</v>
      </c>
      <c r="O14" s="7" t="s">
        <v>120</v>
      </c>
      <c r="P14" s="7" t="s">
        <v>135</v>
      </c>
      <c r="Q14" s="7" t="s">
        <v>122</v>
      </c>
      <c r="R14" s="7" t="s">
        <v>123</v>
      </c>
      <c r="S14" s="7"/>
      <c r="T14" s="7"/>
      <c r="U14" s="7"/>
      <c r="V14" s="7"/>
    </row>
    <row r="15" customFormat="false" ht="23.85" hidden="false" customHeight="false" outlineLevel="0" collapsed="false">
      <c r="A15" s="7" t="s">
        <v>136</v>
      </c>
      <c r="B15" s="7" t="s">
        <v>137</v>
      </c>
      <c r="C15" s="7" t="s">
        <v>15</v>
      </c>
      <c r="D15" s="7" t="s">
        <v>11</v>
      </c>
      <c r="E15" s="8" t="s">
        <v>40</v>
      </c>
      <c r="F15" s="7" t="s">
        <v>138</v>
      </c>
      <c r="G15" s="7" t="s">
        <v>139</v>
      </c>
      <c r="H15" s="7" t="s">
        <v>140</v>
      </c>
      <c r="I15" s="7" t="s">
        <v>117</v>
      </c>
      <c r="J15" s="7" t="s">
        <v>45</v>
      </c>
      <c r="K15" s="7" t="s">
        <v>46</v>
      </c>
      <c r="L15" s="7" t="s">
        <v>66</v>
      </c>
      <c r="M15" s="7" t="s">
        <v>141</v>
      </c>
      <c r="N15" s="7" t="s">
        <v>49</v>
      </c>
      <c r="O15" s="7" t="s">
        <v>50</v>
      </c>
      <c r="P15" s="7" t="s">
        <v>142</v>
      </c>
      <c r="Q15" s="7" t="s">
        <v>52</v>
      </c>
      <c r="R15" s="7" t="s">
        <v>53</v>
      </c>
      <c r="S15" s="7"/>
      <c r="T15" s="7"/>
      <c r="U15" s="7"/>
      <c r="V15" s="7"/>
    </row>
    <row r="16" customFormat="false" ht="23.85" hidden="false" customHeight="false" outlineLevel="0" collapsed="false">
      <c r="A16" s="7" t="s">
        <v>143</v>
      </c>
      <c r="B16" s="7" t="s">
        <v>144</v>
      </c>
      <c r="C16" s="7" t="s">
        <v>15</v>
      </c>
      <c r="D16" s="7" t="s">
        <v>11</v>
      </c>
      <c r="E16" s="8" t="s">
        <v>40</v>
      </c>
      <c r="F16" s="7" t="s">
        <v>108</v>
      </c>
      <c r="G16" s="7" t="s">
        <v>145</v>
      </c>
      <c r="H16" s="7" t="s">
        <v>146</v>
      </c>
      <c r="I16" s="7" t="s">
        <v>44</v>
      </c>
      <c r="J16" s="7" t="s">
        <v>73</v>
      </c>
      <c r="K16" s="7" t="s">
        <v>46</v>
      </c>
      <c r="L16" s="7" t="s">
        <v>66</v>
      </c>
      <c r="M16" s="7" t="s">
        <v>103</v>
      </c>
      <c r="N16" s="7" t="s">
        <v>49</v>
      </c>
      <c r="O16" s="7" t="s">
        <v>50</v>
      </c>
      <c r="P16" s="7" t="s">
        <v>147</v>
      </c>
      <c r="Q16" s="7" t="s">
        <v>52</v>
      </c>
      <c r="R16" s="7" t="s">
        <v>53</v>
      </c>
      <c r="S16" s="7"/>
      <c r="T16" s="7"/>
      <c r="U16" s="7"/>
      <c r="V16" s="7"/>
    </row>
    <row r="17" customFormat="false" ht="23.85" hidden="false" customHeight="false" outlineLevel="0" collapsed="false">
      <c r="A17" s="7" t="s">
        <v>148</v>
      </c>
      <c r="B17" s="7" t="s">
        <v>149</v>
      </c>
      <c r="C17" s="7" t="s">
        <v>15</v>
      </c>
      <c r="D17" s="7" t="s">
        <v>11</v>
      </c>
      <c r="E17" s="8" t="s">
        <v>40</v>
      </c>
      <c r="F17" s="7" t="s">
        <v>108</v>
      </c>
      <c r="G17" s="7" t="s">
        <v>150</v>
      </c>
      <c r="H17" s="7" t="s">
        <v>151</v>
      </c>
      <c r="I17" s="7" t="s">
        <v>44</v>
      </c>
      <c r="J17" s="7" t="s">
        <v>84</v>
      </c>
      <c r="K17" s="7" t="s">
        <v>46</v>
      </c>
      <c r="L17" s="7" t="s">
        <v>66</v>
      </c>
      <c r="M17" s="7" t="s">
        <v>152</v>
      </c>
      <c r="N17" s="7" t="s">
        <v>49</v>
      </c>
      <c r="O17" s="7" t="s">
        <v>50</v>
      </c>
      <c r="P17" s="7" t="s">
        <v>153</v>
      </c>
      <c r="Q17" s="7" t="s">
        <v>52</v>
      </c>
      <c r="R17" s="7" t="s">
        <v>53</v>
      </c>
      <c r="S17" s="7"/>
      <c r="T17" s="7"/>
      <c r="U17" s="7"/>
      <c r="V17" s="7"/>
    </row>
    <row r="18" customFormat="false" ht="23.85" hidden="false" customHeight="false" outlineLevel="0" collapsed="false">
      <c r="A18" s="7" t="s">
        <v>154</v>
      </c>
      <c r="B18" s="7" t="s">
        <v>155</v>
      </c>
      <c r="C18" s="7" t="s">
        <v>15</v>
      </c>
      <c r="D18" s="7" t="s">
        <v>12</v>
      </c>
      <c r="E18" s="8" t="s">
        <v>40</v>
      </c>
      <c r="F18" s="7" t="s">
        <v>156</v>
      </c>
      <c r="G18" s="7" t="s">
        <v>157</v>
      </c>
      <c r="H18" s="7" t="s">
        <v>158</v>
      </c>
      <c r="I18" s="7" t="s">
        <v>44</v>
      </c>
      <c r="J18" s="7" t="s">
        <v>73</v>
      </c>
      <c r="K18" s="7" t="s">
        <v>46</v>
      </c>
      <c r="L18" s="7" t="s">
        <v>66</v>
      </c>
      <c r="M18" s="7" t="s">
        <v>118</v>
      </c>
      <c r="N18" s="7" t="s">
        <v>119</v>
      </c>
      <c r="O18" s="7" t="s">
        <v>120</v>
      </c>
      <c r="P18" s="7" t="s">
        <v>159</v>
      </c>
      <c r="Q18" s="7" t="s">
        <v>122</v>
      </c>
      <c r="R18" s="7" t="s">
        <v>123</v>
      </c>
      <c r="S18" s="7"/>
      <c r="T18" s="7"/>
      <c r="U18" s="7"/>
      <c r="V18" s="7"/>
    </row>
    <row r="19" customFormat="false" ht="23.85" hidden="false" customHeight="false" outlineLevel="0" collapsed="false">
      <c r="A19" s="7" t="s">
        <v>160</v>
      </c>
      <c r="B19" s="7" t="s">
        <v>161</v>
      </c>
      <c r="C19" s="7" t="s">
        <v>15</v>
      </c>
      <c r="D19" s="7" t="s">
        <v>12</v>
      </c>
      <c r="E19" s="8" t="s">
        <v>40</v>
      </c>
      <c r="F19" s="7" t="s">
        <v>156</v>
      </c>
      <c r="G19" s="7" t="s">
        <v>162</v>
      </c>
      <c r="H19" s="7" t="s">
        <v>163</v>
      </c>
      <c r="I19" s="7" t="s">
        <v>44</v>
      </c>
      <c r="J19" s="7" t="s">
        <v>73</v>
      </c>
      <c r="K19" s="7" t="s">
        <v>46</v>
      </c>
      <c r="L19" s="7" t="s">
        <v>66</v>
      </c>
      <c r="M19" s="7" t="s">
        <v>118</v>
      </c>
      <c r="N19" s="7" t="s">
        <v>119</v>
      </c>
      <c r="O19" s="7" t="s">
        <v>120</v>
      </c>
      <c r="P19" s="7" t="s">
        <v>164</v>
      </c>
      <c r="Q19" s="7" t="s">
        <v>122</v>
      </c>
      <c r="R19" s="7" t="s">
        <v>123</v>
      </c>
      <c r="S19" s="7"/>
      <c r="T19" s="7"/>
      <c r="U19" s="7"/>
      <c r="V19" s="7"/>
    </row>
    <row r="20" customFormat="false" ht="23.85" hidden="false" customHeight="false" outlineLevel="0" collapsed="false">
      <c r="A20" s="7" t="s">
        <v>165</v>
      </c>
      <c r="B20" s="7" t="s">
        <v>166</v>
      </c>
      <c r="C20" s="7" t="s">
        <v>15</v>
      </c>
      <c r="D20" s="7" t="s">
        <v>12</v>
      </c>
      <c r="E20" s="8" t="s">
        <v>40</v>
      </c>
      <c r="F20" s="7" t="s">
        <v>156</v>
      </c>
      <c r="G20" s="7" t="s">
        <v>167</v>
      </c>
      <c r="H20" s="7" t="s">
        <v>168</v>
      </c>
      <c r="I20" s="7" t="s">
        <v>44</v>
      </c>
      <c r="J20" s="7" t="s">
        <v>73</v>
      </c>
      <c r="K20" s="7" t="s">
        <v>46</v>
      </c>
      <c r="L20" s="7" t="s">
        <v>66</v>
      </c>
      <c r="M20" s="7" t="s">
        <v>118</v>
      </c>
      <c r="N20" s="7" t="s">
        <v>119</v>
      </c>
      <c r="O20" s="7" t="s">
        <v>120</v>
      </c>
      <c r="P20" s="7" t="s">
        <v>169</v>
      </c>
      <c r="Q20" s="7" t="s">
        <v>122</v>
      </c>
      <c r="R20" s="7" t="s">
        <v>123</v>
      </c>
      <c r="S20" s="7"/>
      <c r="T20" s="7"/>
      <c r="U20" s="7"/>
      <c r="V20" s="7"/>
    </row>
    <row r="21" customFormat="false" ht="23.85" hidden="false" customHeight="false" outlineLevel="0" collapsed="false">
      <c r="A21" s="7" t="s">
        <v>170</v>
      </c>
      <c r="B21" s="7" t="s">
        <v>171</v>
      </c>
      <c r="C21" s="7" t="s">
        <v>15</v>
      </c>
      <c r="D21" s="7" t="s">
        <v>12</v>
      </c>
      <c r="E21" s="8" t="s">
        <v>40</v>
      </c>
      <c r="F21" s="7" t="s">
        <v>156</v>
      </c>
      <c r="G21" s="7" t="s">
        <v>172</v>
      </c>
      <c r="H21" s="7" t="s">
        <v>173</v>
      </c>
      <c r="I21" s="7" t="s">
        <v>44</v>
      </c>
      <c r="J21" s="7" t="s">
        <v>73</v>
      </c>
      <c r="K21" s="7" t="s">
        <v>46</v>
      </c>
      <c r="L21" s="7" t="s">
        <v>66</v>
      </c>
      <c r="M21" s="7" t="s">
        <v>129</v>
      </c>
      <c r="N21" s="7" t="s">
        <v>49</v>
      </c>
      <c r="O21" s="7" t="s">
        <v>50</v>
      </c>
      <c r="P21" s="7" t="s">
        <v>174</v>
      </c>
      <c r="Q21" s="7" t="s">
        <v>52</v>
      </c>
      <c r="R21" s="7" t="s">
        <v>53</v>
      </c>
      <c r="S21" s="7"/>
      <c r="T21" s="7"/>
      <c r="U21" s="7"/>
      <c r="V21" s="7"/>
    </row>
    <row r="22" customFormat="false" ht="23.85" hidden="false" customHeight="false" outlineLevel="0" collapsed="false">
      <c r="A22" s="7" t="s">
        <v>175</v>
      </c>
      <c r="B22" s="7" t="s">
        <v>176</v>
      </c>
      <c r="C22" s="7" t="s">
        <v>16</v>
      </c>
      <c r="D22" s="7" t="s">
        <v>10</v>
      </c>
      <c r="E22" s="8" t="s">
        <v>40</v>
      </c>
      <c r="F22" s="7" t="s">
        <v>156</v>
      </c>
      <c r="G22" s="7" t="s">
        <v>177</v>
      </c>
      <c r="H22" s="7" t="s">
        <v>178</v>
      </c>
      <c r="I22" s="7" t="s">
        <v>65</v>
      </c>
      <c r="J22" s="7" t="s">
        <v>179</v>
      </c>
      <c r="K22" s="7" t="s">
        <v>46</v>
      </c>
      <c r="L22" s="7" t="s">
        <v>180</v>
      </c>
      <c r="M22" s="7" t="s">
        <v>181</v>
      </c>
      <c r="N22" s="7" t="s">
        <v>182</v>
      </c>
      <c r="O22" s="7" t="s">
        <v>183</v>
      </c>
      <c r="P22" s="7" t="s">
        <v>184</v>
      </c>
      <c r="Q22" s="7" t="s">
        <v>185</v>
      </c>
      <c r="R22" s="7" t="s">
        <v>186</v>
      </c>
      <c r="S22" s="7"/>
      <c r="T22" s="7"/>
      <c r="U22" s="7"/>
      <c r="V22" s="7"/>
    </row>
    <row r="23" customFormat="false" ht="46.25" hidden="false" customHeight="false" outlineLevel="0" collapsed="false">
      <c r="A23" s="7" t="s">
        <v>187</v>
      </c>
      <c r="B23" s="7" t="s">
        <v>188</v>
      </c>
      <c r="C23" s="7" t="s">
        <v>16</v>
      </c>
      <c r="D23" s="7" t="s">
        <v>10</v>
      </c>
      <c r="E23" s="8" t="s">
        <v>40</v>
      </c>
      <c r="F23" s="7" t="s">
        <v>156</v>
      </c>
      <c r="G23" s="7" t="s">
        <v>189</v>
      </c>
      <c r="H23" s="7" t="s">
        <v>190</v>
      </c>
      <c r="I23" s="7" t="s">
        <v>44</v>
      </c>
      <c r="J23" s="7" t="s">
        <v>191</v>
      </c>
      <c r="K23" s="7" t="s">
        <v>46</v>
      </c>
      <c r="L23" s="7" t="s">
        <v>47</v>
      </c>
      <c r="M23" s="7" t="s">
        <v>192</v>
      </c>
      <c r="N23" s="7" t="s">
        <v>193</v>
      </c>
      <c r="O23" s="7" t="s">
        <v>194</v>
      </c>
      <c r="P23" s="7" t="s">
        <v>195</v>
      </c>
      <c r="Q23" s="7" t="s">
        <v>185</v>
      </c>
      <c r="R23" s="7" t="s">
        <v>186</v>
      </c>
      <c r="S23" s="7"/>
      <c r="T23" s="7"/>
      <c r="U23" s="7"/>
      <c r="V23" s="7"/>
    </row>
    <row r="24" customFormat="false" ht="46.25" hidden="false" customHeight="false" outlineLevel="0" collapsed="false">
      <c r="A24" s="7" t="s">
        <v>196</v>
      </c>
      <c r="B24" s="7" t="s">
        <v>197</v>
      </c>
      <c r="C24" s="7" t="s">
        <v>16</v>
      </c>
      <c r="D24" s="7" t="s">
        <v>11</v>
      </c>
      <c r="E24" s="10" t="s">
        <v>198</v>
      </c>
      <c r="F24" s="7" t="s">
        <v>199</v>
      </c>
      <c r="G24" s="7" t="s">
        <v>200</v>
      </c>
      <c r="H24" s="7" t="s">
        <v>201</v>
      </c>
      <c r="I24" s="7" t="s">
        <v>44</v>
      </c>
      <c r="J24" s="7" t="s">
        <v>191</v>
      </c>
      <c r="K24" s="7" t="s">
        <v>46</v>
      </c>
      <c r="L24" s="7" t="s">
        <v>202</v>
      </c>
      <c r="M24" s="7"/>
      <c r="N24" s="7" t="s">
        <v>193</v>
      </c>
      <c r="O24" s="7" t="s">
        <v>194</v>
      </c>
      <c r="P24" s="7" t="s">
        <v>203</v>
      </c>
      <c r="Q24" s="7" t="s">
        <v>204</v>
      </c>
      <c r="R24" s="7"/>
      <c r="S24" s="7" t="s">
        <v>205</v>
      </c>
      <c r="T24" s="7" t="s">
        <v>206</v>
      </c>
      <c r="U24" s="7" t="s">
        <v>187</v>
      </c>
      <c r="V24" s="7"/>
    </row>
    <row r="25" customFormat="false" ht="23.85" hidden="false" customHeight="false" outlineLevel="0" collapsed="false">
      <c r="A25" s="7" t="s">
        <v>207</v>
      </c>
      <c r="B25" s="7" t="s">
        <v>208</v>
      </c>
      <c r="C25" s="7" t="s">
        <v>16</v>
      </c>
      <c r="D25" s="7" t="s">
        <v>12</v>
      </c>
      <c r="E25" s="8" t="s">
        <v>40</v>
      </c>
      <c r="F25" s="7" t="s">
        <v>156</v>
      </c>
      <c r="G25" s="7" t="s">
        <v>209</v>
      </c>
      <c r="H25" s="7" t="s">
        <v>210</v>
      </c>
      <c r="I25" s="7" t="s">
        <v>44</v>
      </c>
      <c r="J25" s="7" t="s">
        <v>191</v>
      </c>
      <c r="K25" s="7" t="s">
        <v>46</v>
      </c>
      <c r="L25" s="7" t="s">
        <v>180</v>
      </c>
      <c r="M25" s="7" t="s">
        <v>211</v>
      </c>
      <c r="N25" s="7" t="s">
        <v>212</v>
      </c>
      <c r="O25" s="7" t="s">
        <v>213</v>
      </c>
      <c r="P25" s="7" t="s">
        <v>214</v>
      </c>
      <c r="Q25" s="7" t="s">
        <v>185</v>
      </c>
      <c r="R25" s="7" t="s">
        <v>186</v>
      </c>
      <c r="S25" s="7"/>
      <c r="T25" s="7"/>
      <c r="U25" s="7"/>
      <c r="V25" s="7"/>
    </row>
    <row r="26" customFormat="false" ht="46.25" hidden="false" customHeight="false" outlineLevel="0" collapsed="false">
      <c r="A26" s="7" t="s">
        <v>215</v>
      </c>
      <c r="B26" s="7" t="s">
        <v>216</v>
      </c>
      <c r="C26" s="7" t="s">
        <v>17</v>
      </c>
      <c r="D26" s="7" t="s">
        <v>10</v>
      </c>
      <c r="E26" s="8" t="s">
        <v>40</v>
      </c>
      <c r="F26" s="7" t="s">
        <v>138</v>
      </c>
      <c r="G26" s="7" t="s">
        <v>217</v>
      </c>
      <c r="H26" s="7" t="s">
        <v>218</v>
      </c>
      <c r="I26" s="7" t="s">
        <v>65</v>
      </c>
      <c r="J26" s="7" t="s">
        <v>179</v>
      </c>
      <c r="K26" s="7" t="s">
        <v>46</v>
      </c>
      <c r="L26" s="7" t="s">
        <v>180</v>
      </c>
      <c r="M26" s="7" t="s">
        <v>219</v>
      </c>
      <c r="N26" s="7" t="s">
        <v>220</v>
      </c>
      <c r="O26" s="7" t="s">
        <v>221</v>
      </c>
      <c r="P26" s="7" t="s">
        <v>222</v>
      </c>
      <c r="Q26" s="7" t="s">
        <v>223</v>
      </c>
      <c r="R26" s="7" t="s">
        <v>224</v>
      </c>
      <c r="S26" s="7"/>
      <c r="T26" s="7"/>
      <c r="U26" s="7"/>
      <c r="V26" s="7" t="s">
        <v>225</v>
      </c>
    </row>
    <row r="27" customFormat="false" ht="23.85" hidden="false" customHeight="false" outlineLevel="0" collapsed="false">
      <c r="A27" s="7" t="s">
        <v>226</v>
      </c>
      <c r="B27" s="7" t="s">
        <v>227</v>
      </c>
      <c r="C27" s="7" t="s">
        <v>17</v>
      </c>
      <c r="D27" s="7" t="s">
        <v>10</v>
      </c>
      <c r="E27" s="8" t="s">
        <v>40</v>
      </c>
      <c r="F27" s="7" t="s">
        <v>156</v>
      </c>
      <c r="G27" s="7" t="s">
        <v>228</v>
      </c>
      <c r="H27" s="7" t="s">
        <v>229</v>
      </c>
      <c r="I27" s="7" t="s">
        <v>65</v>
      </c>
      <c r="J27" s="7" t="s">
        <v>179</v>
      </c>
      <c r="K27" s="7" t="s">
        <v>46</v>
      </c>
      <c r="L27" s="7" t="s">
        <v>180</v>
      </c>
      <c r="M27" s="7" t="s">
        <v>230</v>
      </c>
      <c r="N27" s="7" t="s">
        <v>231</v>
      </c>
      <c r="O27" s="7" t="s">
        <v>232</v>
      </c>
      <c r="P27" s="7" t="s">
        <v>222</v>
      </c>
      <c r="Q27" s="7" t="s">
        <v>223</v>
      </c>
      <c r="R27" s="7" t="s">
        <v>224</v>
      </c>
      <c r="S27" s="7"/>
      <c r="T27" s="7"/>
      <c r="U27" s="7"/>
      <c r="V27" s="7"/>
    </row>
    <row r="28" customFormat="false" ht="35.05" hidden="false" customHeight="false" outlineLevel="0" collapsed="false">
      <c r="A28" s="7" t="s">
        <v>233</v>
      </c>
      <c r="B28" s="7" t="s">
        <v>234</v>
      </c>
      <c r="C28" s="7" t="s">
        <v>17</v>
      </c>
      <c r="D28" s="7" t="s">
        <v>10</v>
      </c>
      <c r="E28" s="8" t="s">
        <v>40</v>
      </c>
      <c r="F28" s="7" t="s">
        <v>62</v>
      </c>
      <c r="G28" s="7" t="s">
        <v>235</v>
      </c>
      <c r="H28" s="7" t="s">
        <v>236</v>
      </c>
      <c r="I28" s="7" t="s">
        <v>44</v>
      </c>
      <c r="J28" s="7" t="s">
        <v>179</v>
      </c>
      <c r="K28" s="7" t="s">
        <v>46</v>
      </c>
      <c r="L28" s="7" t="s">
        <v>180</v>
      </c>
      <c r="M28" s="7" t="s">
        <v>237</v>
      </c>
      <c r="N28" s="7" t="s">
        <v>238</v>
      </c>
      <c r="O28" s="7" t="s">
        <v>239</v>
      </c>
      <c r="P28" s="7" t="s">
        <v>121</v>
      </c>
      <c r="Q28" s="7" t="s">
        <v>122</v>
      </c>
      <c r="R28" s="7" t="s">
        <v>123</v>
      </c>
      <c r="S28" s="7"/>
      <c r="T28" s="7"/>
      <c r="U28" s="7"/>
      <c r="V28" s="7"/>
    </row>
    <row r="29" customFormat="false" ht="23.85" hidden="false" customHeight="false" outlineLevel="0" collapsed="false">
      <c r="A29" s="7" t="s">
        <v>240</v>
      </c>
      <c r="B29" s="7" t="s">
        <v>241</v>
      </c>
      <c r="C29" s="7" t="s">
        <v>17</v>
      </c>
      <c r="D29" s="7" t="s">
        <v>10</v>
      </c>
      <c r="E29" s="8" t="s">
        <v>40</v>
      </c>
      <c r="F29" s="7" t="s">
        <v>62</v>
      </c>
      <c r="G29" s="7" t="s">
        <v>242</v>
      </c>
      <c r="H29" s="7" t="s">
        <v>243</v>
      </c>
      <c r="I29" s="7" t="s">
        <v>44</v>
      </c>
      <c r="J29" s="7" t="s">
        <v>179</v>
      </c>
      <c r="K29" s="7" t="s">
        <v>46</v>
      </c>
      <c r="L29" s="7" t="s">
        <v>180</v>
      </c>
      <c r="M29" s="7" t="s">
        <v>244</v>
      </c>
      <c r="N29" s="7" t="s">
        <v>238</v>
      </c>
      <c r="O29" s="7" t="s">
        <v>239</v>
      </c>
      <c r="P29" s="7" t="s">
        <v>121</v>
      </c>
      <c r="Q29" s="7" t="s">
        <v>122</v>
      </c>
      <c r="R29" s="7" t="s">
        <v>123</v>
      </c>
      <c r="S29" s="7"/>
      <c r="T29" s="7"/>
      <c r="U29" s="7"/>
      <c r="V29" s="7"/>
    </row>
    <row r="30" customFormat="false" ht="23.85" hidden="false" customHeight="false" outlineLevel="0" collapsed="false">
      <c r="A30" s="7" t="s">
        <v>245</v>
      </c>
      <c r="B30" s="7" t="s">
        <v>246</v>
      </c>
      <c r="C30" s="7" t="s">
        <v>17</v>
      </c>
      <c r="D30" s="7" t="s">
        <v>12</v>
      </c>
      <c r="E30" s="8" t="s">
        <v>40</v>
      </c>
      <c r="F30" s="7" t="s">
        <v>138</v>
      </c>
      <c r="G30" s="7" t="s">
        <v>247</v>
      </c>
      <c r="H30" s="7" t="s">
        <v>248</v>
      </c>
      <c r="I30" s="7" t="s">
        <v>44</v>
      </c>
      <c r="J30" s="7" t="s">
        <v>179</v>
      </c>
      <c r="K30" s="7" t="s">
        <v>46</v>
      </c>
      <c r="L30" s="7" t="s">
        <v>180</v>
      </c>
      <c r="M30" s="7" t="s">
        <v>249</v>
      </c>
      <c r="N30" s="7" t="s">
        <v>212</v>
      </c>
      <c r="O30" s="7" t="s">
        <v>213</v>
      </c>
      <c r="P30" s="7" t="s">
        <v>250</v>
      </c>
      <c r="Q30" s="7" t="s">
        <v>223</v>
      </c>
      <c r="R30" s="7" t="s">
        <v>224</v>
      </c>
      <c r="S30" s="7"/>
      <c r="T30" s="7"/>
      <c r="U30" s="7"/>
      <c r="V30" s="7"/>
    </row>
    <row r="31" customFormat="false" ht="23.85" hidden="false" customHeight="false" outlineLevel="0" collapsed="false">
      <c r="A31" s="7" t="s">
        <v>251</v>
      </c>
      <c r="B31" s="7" t="s">
        <v>252</v>
      </c>
      <c r="C31" s="7" t="s">
        <v>17</v>
      </c>
      <c r="D31" s="7" t="s">
        <v>12</v>
      </c>
      <c r="E31" s="8" t="s">
        <v>40</v>
      </c>
      <c r="F31" s="7" t="s">
        <v>156</v>
      </c>
      <c r="G31" s="7" t="s">
        <v>253</v>
      </c>
      <c r="H31" s="7" t="s">
        <v>254</v>
      </c>
      <c r="I31" s="7" t="s">
        <v>65</v>
      </c>
      <c r="J31" s="7" t="s">
        <v>179</v>
      </c>
      <c r="K31" s="7" t="s">
        <v>46</v>
      </c>
      <c r="L31" s="7" t="s">
        <v>66</v>
      </c>
      <c r="M31" s="7" t="s">
        <v>152</v>
      </c>
      <c r="N31" s="7" t="s">
        <v>49</v>
      </c>
      <c r="O31" s="7" t="s">
        <v>50</v>
      </c>
      <c r="P31" s="7" t="s">
        <v>255</v>
      </c>
      <c r="Q31" s="7" t="s">
        <v>223</v>
      </c>
      <c r="R31" s="7" t="s">
        <v>224</v>
      </c>
      <c r="S31" s="7"/>
      <c r="T31" s="7"/>
      <c r="U31" s="7"/>
      <c r="V31" s="7"/>
    </row>
    <row r="32" customFormat="false" ht="23.85" hidden="false" customHeight="false" outlineLevel="0" collapsed="false">
      <c r="A32" s="7" t="s">
        <v>256</v>
      </c>
      <c r="B32" s="7" t="s">
        <v>257</v>
      </c>
      <c r="C32" s="7" t="s">
        <v>18</v>
      </c>
      <c r="D32" s="7" t="s">
        <v>10</v>
      </c>
      <c r="E32" s="8" t="s">
        <v>40</v>
      </c>
      <c r="F32" s="7" t="s">
        <v>62</v>
      </c>
      <c r="G32" s="7" t="s">
        <v>258</v>
      </c>
      <c r="H32" s="7" t="s">
        <v>259</v>
      </c>
      <c r="I32" s="7" t="s">
        <v>260</v>
      </c>
      <c r="J32" s="7" t="s">
        <v>261</v>
      </c>
      <c r="K32" s="7" t="s">
        <v>262</v>
      </c>
      <c r="L32" s="7" t="s">
        <v>263</v>
      </c>
      <c r="M32" s="7" t="s">
        <v>264</v>
      </c>
      <c r="N32" s="7" t="s">
        <v>265</v>
      </c>
      <c r="O32" s="7" t="s">
        <v>266</v>
      </c>
      <c r="P32" s="7" t="s">
        <v>267</v>
      </c>
      <c r="Q32" s="7" t="s">
        <v>268</v>
      </c>
      <c r="R32" s="7" t="s">
        <v>269</v>
      </c>
      <c r="S32" s="7"/>
      <c r="T32" s="7"/>
      <c r="U32" s="7"/>
      <c r="V32" s="7"/>
    </row>
    <row r="33" customFormat="false" ht="23.85" hidden="false" customHeight="false" outlineLevel="0" collapsed="false">
      <c r="A33" s="7" t="s">
        <v>270</v>
      </c>
      <c r="B33" s="7" t="s">
        <v>271</v>
      </c>
      <c r="C33" s="7" t="s">
        <v>18</v>
      </c>
      <c r="D33" s="7" t="s">
        <v>11</v>
      </c>
      <c r="E33" s="8" t="s">
        <v>40</v>
      </c>
      <c r="F33" s="7" t="s">
        <v>62</v>
      </c>
      <c r="G33" s="7" t="s">
        <v>272</v>
      </c>
      <c r="H33" s="7" t="s">
        <v>273</v>
      </c>
      <c r="I33" s="7" t="s">
        <v>44</v>
      </c>
      <c r="J33" s="7" t="s">
        <v>261</v>
      </c>
      <c r="K33" s="7" t="s">
        <v>262</v>
      </c>
      <c r="L33" s="7" t="s">
        <v>263</v>
      </c>
      <c r="M33" s="7" t="s">
        <v>274</v>
      </c>
      <c r="N33" s="7" t="s">
        <v>275</v>
      </c>
      <c r="O33" s="7" t="s">
        <v>276</v>
      </c>
      <c r="P33" s="7" t="s">
        <v>277</v>
      </c>
      <c r="Q33" s="7" t="s">
        <v>268</v>
      </c>
      <c r="R33" s="7" t="s">
        <v>269</v>
      </c>
      <c r="S33" s="7"/>
      <c r="T33" s="7"/>
      <c r="U33" s="7"/>
      <c r="V33" s="7"/>
    </row>
    <row r="34" customFormat="false" ht="23.85" hidden="false" customHeight="false" outlineLevel="0" collapsed="false">
      <c r="A34" s="7" t="s">
        <v>278</v>
      </c>
      <c r="B34" s="7" t="s">
        <v>279</v>
      </c>
      <c r="C34" s="7" t="s">
        <v>18</v>
      </c>
      <c r="D34" s="7" t="s">
        <v>11</v>
      </c>
      <c r="E34" s="8" t="s">
        <v>40</v>
      </c>
      <c r="F34" s="7" t="s">
        <v>62</v>
      </c>
      <c r="G34" s="7" t="s">
        <v>280</v>
      </c>
      <c r="H34" s="7" t="s">
        <v>281</v>
      </c>
      <c r="I34" s="7" t="s">
        <v>65</v>
      </c>
      <c r="J34" s="7" t="s">
        <v>261</v>
      </c>
      <c r="K34" s="7" t="s">
        <v>262</v>
      </c>
      <c r="L34" s="7" t="s">
        <v>263</v>
      </c>
      <c r="M34" s="7" t="s">
        <v>282</v>
      </c>
      <c r="N34" s="7" t="s">
        <v>283</v>
      </c>
      <c r="O34" s="7" t="s">
        <v>284</v>
      </c>
      <c r="P34" s="7" t="s">
        <v>285</v>
      </c>
      <c r="Q34" s="7" t="s">
        <v>268</v>
      </c>
      <c r="R34" s="7" t="s">
        <v>269</v>
      </c>
      <c r="S34" s="7"/>
      <c r="T34" s="7"/>
      <c r="U34" s="7"/>
      <c r="V3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30" hidden="false" customHeight="true" outlineLevel="0" collapsed="false">
      <c r="A1" s="6" t="s">
        <v>13</v>
      </c>
      <c r="B1" s="6" t="s">
        <v>286</v>
      </c>
      <c r="C1" s="6" t="s">
        <v>287</v>
      </c>
      <c r="D1" s="6" t="s">
        <v>288</v>
      </c>
      <c r="E1" s="6" t="s">
        <v>289</v>
      </c>
      <c r="F1" s="6" t="s">
        <v>290</v>
      </c>
      <c r="G1" s="6" t="s">
        <v>291</v>
      </c>
    </row>
    <row r="2" customFormat="false" ht="23.85" hidden="false" customHeight="false" outlineLevel="0" collapsed="false">
      <c r="A2" s="7" t="s">
        <v>14</v>
      </c>
      <c r="B2" s="7" t="s">
        <v>292</v>
      </c>
      <c r="C2" s="7" t="s">
        <v>46</v>
      </c>
      <c r="D2" s="7" t="s">
        <v>293</v>
      </c>
      <c r="E2" s="7" t="s">
        <v>294</v>
      </c>
      <c r="F2" s="7" t="n">
        <v>3</v>
      </c>
      <c r="G2" s="7" t="s">
        <v>295</v>
      </c>
    </row>
    <row r="3" customFormat="false" ht="23.85" hidden="false" customHeight="false" outlineLevel="0" collapsed="false">
      <c r="A3" s="7" t="s">
        <v>15</v>
      </c>
      <c r="B3" s="7" t="s">
        <v>292</v>
      </c>
      <c r="C3" s="7" t="s">
        <v>46</v>
      </c>
      <c r="D3" s="7" t="s">
        <v>293</v>
      </c>
      <c r="E3" s="7" t="s">
        <v>294</v>
      </c>
      <c r="F3" s="7" t="n">
        <v>4</v>
      </c>
      <c r="G3" s="7" t="s">
        <v>295</v>
      </c>
    </row>
    <row r="4" customFormat="false" ht="23.85" hidden="false" customHeight="false" outlineLevel="0" collapsed="false">
      <c r="A4" s="7" t="s">
        <v>16</v>
      </c>
      <c r="B4" s="7" t="s">
        <v>296</v>
      </c>
      <c r="C4" s="7" t="s">
        <v>46</v>
      </c>
      <c r="D4" s="7" t="s">
        <v>293</v>
      </c>
      <c r="E4" s="7" t="s">
        <v>294</v>
      </c>
      <c r="F4" s="7" t="n">
        <v>2</v>
      </c>
      <c r="G4" s="7" t="s">
        <v>295</v>
      </c>
    </row>
    <row r="5" customFormat="false" ht="23.85" hidden="false" customHeight="false" outlineLevel="0" collapsed="false">
      <c r="A5" s="7" t="s">
        <v>17</v>
      </c>
      <c r="B5" s="7" t="s">
        <v>179</v>
      </c>
      <c r="C5" s="7" t="s">
        <v>46</v>
      </c>
      <c r="D5" s="7" t="s">
        <v>293</v>
      </c>
      <c r="E5" s="7" t="s">
        <v>294</v>
      </c>
      <c r="F5" s="7" t="n">
        <v>4</v>
      </c>
      <c r="G5" s="7" t="s">
        <v>295</v>
      </c>
    </row>
    <row r="6" customFormat="false" ht="23.85" hidden="false" customHeight="false" outlineLevel="0" collapsed="false">
      <c r="A6" s="7" t="s">
        <v>18</v>
      </c>
      <c r="B6" s="7" t="s">
        <v>261</v>
      </c>
      <c r="C6" s="7" t="s">
        <v>262</v>
      </c>
      <c r="D6" s="7" t="s">
        <v>293</v>
      </c>
      <c r="E6" s="7" t="s">
        <v>294</v>
      </c>
      <c r="F6" s="7" t="n">
        <v>1</v>
      </c>
      <c r="G6" s="7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30" hidden="false" customHeight="true" outlineLevel="0" collapsed="false">
      <c r="A1" s="6" t="s">
        <v>297</v>
      </c>
      <c r="B1" s="6" t="s">
        <v>298</v>
      </c>
      <c r="C1" s="6" t="s">
        <v>299</v>
      </c>
      <c r="D1" s="6" t="s">
        <v>300</v>
      </c>
      <c r="E1" s="6" t="s">
        <v>301</v>
      </c>
      <c r="F1" s="6" t="s">
        <v>302</v>
      </c>
      <c r="G1" s="6" t="s">
        <v>303</v>
      </c>
    </row>
    <row r="2" customFormat="false" ht="15" hidden="false" customHeight="false" outlineLevel="0" collapsed="false">
      <c r="A2" s="7" t="s">
        <v>304</v>
      </c>
      <c r="B2" s="7" t="s">
        <v>305</v>
      </c>
      <c r="C2" s="7" t="s">
        <v>306</v>
      </c>
      <c r="D2" s="7" t="s">
        <v>307</v>
      </c>
      <c r="E2" s="7" t="s">
        <v>308</v>
      </c>
      <c r="F2" s="7" t="s">
        <v>309</v>
      </c>
      <c r="G2" s="7" t="s">
        <v>310</v>
      </c>
    </row>
    <row r="3" customFormat="false" ht="15" hidden="false" customHeight="false" outlineLevel="0" collapsed="false">
      <c r="A3" s="7" t="s">
        <v>311</v>
      </c>
      <c r="B3" s="7" t="s">
        <v>312</v>
      </c>
      <c r="C3" s="7" t="s">
        <v>313</v>
      </c>
      <c r="D3" s="7" t="s">
        <v>308</v>
      </c>
      <c r="E3" s="7" t="s">
        <v>309</v>
      </c>
      <c r="F3" s="7" t="s">
        <v>309</v>
      </c>
      <c r="G3" s="7" t="s">
        <v>314</v>
      </c>
    </row>
    <row r="4" customFormat="false" ht="15" hidden="false" customHeight="false" outlineLevel="0" collapsed="false">
      <c r="A4" s="7" t="s">
        <v>315</v>
      </c>
      <c r="B4" s="7" t="s">
        <v>316</v>
      </c>
      <c r="C4" s="7" t="s">
        <v>317</v>
      </c>
      <c r="D4" s="7" t="s">
        <v>309</v>
      </c>
      <c r="E4" s="7" t="s">
        <v>309</v>
      </c>
      <c r="F4" s="7" t="s">
        <v>309</v>
      </c>
      <c r="G4" s="7" t="s">
        <v>318</v>
      </c>
    </row>
    <row r="5" customFormat="false" ht="15" hidden="false" customHeight="false" outlineLevel="0" collapsed="false">
      <c r="A5" s="7" t="s">
        <v>319</v>
      </c>
      <c r="B5" s="7" t="s">
        <v>320</v>
      </c>
      <c r="C5" s="7" t="s">
        <v>321</v>
      </c>
      <c r="D5" s="7" t="s">
        <v>322</v>
      </c>
      <c r="E5" s="7" t="s">
        <v>308</v>
      </c>
      <c r="F5" s="7" t="s">
        <v>309</v>
      </c>
      <c r="G5" s="7" t="s">
        <v>323</v>
      </c>
    </row>
    <row r="6" customFormat="false" ht="15" hidden="false" customHeight="false" outlineLevel="0" collapsed="false">
      <c r="A6" s="7" t="s">
        <v>324</v>
      </c>
      <c r="B6" s="7" t="s">
        <v>325</v>
      </c>
      <c r="C6" s="7" t="s">
        <v>326</v>
      </c>
      <c r="D6" s="7" t="s">
        <v>327</v>
      </c>
      <c r="E6" s="7" t="s">
        <v>328</v>
      </c>
      <c r="F6" s="7" t="s">
        <v>309</v>
      </c>
      <c r="G6" s="7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30" hidden="false" customHeight="true" outlineLevel="0" collapsed="false">
      <c r="A1" s="6" t="s">
        <v>330</v>
      </c>
      <c r="B1" s="6" t="s">
        <v>331</v>
      </c>
      <c r="C1" s="6" t="s">
        <v>332</v>
      </c>
      <c r="D1" s="6" t="s">
        <v>333</v>
      </c>
    </row>
    <row r="2" customFormat="false" ht="15" hidden="false" customHeight="false" outlineLevel="0" collapsed="false">
      <c r="A2" s="7" t="s">
        <v>334</v>
      </c>
      <c r="B2" s="7" t="s">
        <v>335</v>
      </c>
      <c r="C2" s="7" t="s">
        <v>336</v>
      </c>
      <c r="D2" s="7" t="s">
        <v>337</v>
      </c>
    </row>
    <row r="3" customFormat="false" ht="23.85" hidden="false" customHeight="false" outlineLevel="0" collapsed="false">
      <c r="A3" s="7" t="s">
        <v>338</v>
      </c>
      <c r="B3" s="7" t="s">
        <v>339</v>
      </c>
      <c r="C3" s="7" t="s">
        <v>194</v>
      </c>
      <c r="D3" s="7" t="s">
        <v>340</v>
      </c>
    </row>
    <row r="4" customFormat="false" ht="15" hidden="false" customHeight="false" outlineLevel="0" collapsed="false">
      <c r="A4" s="7" t="s">
        <v>341</v>
      </c>
      <c r="B4" s="7" t="s">
        <v>342</v>
      </c>
      <c r="C4" s="7" t="s">
        <v>343</v>
      </c>
      <c r="D4" s="7" t="s">
        <v>344</v>
      </c>
    </row>
    <row r="5" customFormat="false" ht="15" hidden="false" customHeight="false" outlineLevel="0" collapsed="false">
      <c r="A5" s="7" t="s">
        <v>211</v>
      </c>
      <c r="B5" s="7" t="s">
        <v>345</v>
      </c>
      <c r="C5" s="7" t="s">
        <v>346</v>
      </c>
      <c r="D5" s="7" t="s">
        <v>347</v>
      </c>
    </row>
    <row r="6" customFormat="false" ht="23.85" hidden="false" customHeight="false" outlineLevel="0" collapsed="false">
      <c r="A6" s="7" t="s">
        <v>103</v>
      </c>
      <c r="B6" s="7" t="s">
        <v>348</v>
      </c>
      <c r="C6" s="7" t="s">
        <v>349</v>
      </c>
      <c r="D6" s="7" t="s">
        <v>350</v>
      </c>
    </row>
    <row r="7" customFormat="false" ht="35.05" hidden="false" customHeight="false" outlineLevel="0" collapsed="false">
      <c r="A7" s="7" t="s">
        <v>351</v>
      </c>
      <c r="B7" s="7" t="s">
        <v>352</v>
      </c>
      <c r="C7" s="7" t="s">
        <v>353</v>
      </c>
      <c r="D7" s="7" t="s">
        <v>354</v>
      </c>
    </row>
    <row r="8" customFormat="false" ht="15" hidden="false" customHeight="false" outlineLevel="0" collapsed="false">
      <c r="A8" s="7" t="s">
        <v>355</v>
      </c>
      <c r="B8" s="7" t="s">
        <v>356</v>
      </c>
      <c r="C8" s="7" t="s">
        <v>120</v>
      </c>
      <c r="D8" s="7" t="s">
        <v>357</v>
      </c>
    </row>
    <row r="9" customFormat="false" ht="15" hidden="false" customHeight="false" outlineLevel="0" collapsed="false">
      <c r="A9" s="7" t="s">
        <v>358</v>
      </c>
      <c r="B9" s="7" t="s">
        <v>359</v>
      </c>
      <c r="C9" s="7" t="s">
        <v>360</v>
      </c>
      <c r="D9" s="7" t="s">
        <v>361</v>
      </c>
    </row>
    <row r="10" customFormat="false" ht="15" hidden="false" customHeight="false" outlineLevel="0" collapsed="false">
      <c r="A10" s="7" t="s">
        <v>362</v>
      </c>
      <c r="B10" s="7" t="s">
        <v>363</v>
      </c>
      <c r="C10" s="7" t="s">
        <v>364</v>
      </c>
      <c r="D10" s="7" t="s">
        <v>365</v>
      </c>
    </row>
    <row r="11" customFormat="false" ht="15" hidden="false" customHeight="false" outlineLevel="0" collapsed="false">
      <c r="A11" s="7" t="s">
        <v>366</v>
      </c>
      <c r="B11" s="7" t="s">
        <v>367</v>
      </c>
      <c r="C11" s="7" t="s">
        <v>368</v>
      </c>
      <c r="D11" s="7" t="s">
        <v>369</v>
      </c>
    </row>
    <row r="12" customFormat="false" ht="15" hidden="false" customHeight="false" outlineLevel="0" collapsed="false">
      <c r="A12" s="7" t="s">
        <v>370</v>
      </c>
      <c r="B12" s="7" t="s">
        <v>371</v>
      </c>
      <c r="C12" s="7" t="s">
        <v>372</v>
      </c>
      <c r="D12" s="7" t="s">
        <v>373</v>
      </c>
    </row>
    <row r="13" customFormat="false" ht="15" hidden="false" customHeight="false" outlineLevel="0" collapsed="false">
      <c r="A13" s="7" t="s">
        <v>249</v>
      </c>
      <c r="B13" s="7" t="s">
        <v>374</v>
      </c>
      <c r="C13" s="7" t="s">
        <v>213</v>
      </c>
      <c r="D13" s="7" t="s">
        <v>375</v>
      </c>
    </row>
    <row r="14" customFormat="false" ht="15" hidden="false" customHeight="false" outlineLevel="0" collapsed="false">
      <c r="A14" s="7" t="s">
        <v>376</v>
      </c>
      <c r="B14" s="7" t="s">
        <v>377</v>
      </c>
      <c r="C14" s="7" t="s">
        <v>239</v>
      </c>
      <c r="D14" s="7" t="s">
        <v>378</v>
      </c>
    </row>
    <row r="15" customFormat="false" ht="15" hidden="false" customHeight="false" outlineLevel="0" collapsed="false">
      <c r="A15" s="7" t="s">
        <v>379</v>
      </c>
      <c r="B15" s="7" t="s">
        <v>380</v>
      </c>
      <c r="C15" s="7" t="s">
        <v>381</v>
      </c>
      <c r="D15" s="7" t="s">
        <v>378</v>
      </c>
    </row>
    <row r="16" customFormat="false" ht="15" hidden="false" customHeight="false" outlineLevel="0" collapsed="false">
      <c r="A16" s="7" t="s">
        <v>382</v>
      </c>
      <c r="B16" s="7" t="s">
        <v>383</v>
      </c>
      <c r="C16" s="7" t="s">
        <v>384</v>
      </c>
      <c r="D16" s="7" t="s">
        <v>385</v>
      </c>
    </row>
    <row r="17" customFormat="false" ht="15" hidden="false" customHeight="false" outlineLevel="0" collapsed="false">
      <c r="A17" s="7" t="s">
        <v>152</v>
      </c>
      <c r="B17" s="7" t="s">
        <v>386</v>
      </c>
      <c r="C17" s="7" t="s">
        <v>50</v>
      </c>
      <c r="D17" s="7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6" t="s">
        <v>19</v>
      </c>
      <c r="B1" s="6" t="s">
        <v>388</v>
      </c>
      <c r="C1" s="6" t="s">
        <v>389</v>
      </c>
      <c r="D1" s="6" t="s">
        <v>390</v>
      </c>
    </row>
    <row r="2" customFormat="false" ht="15" hidden="false" customHeight="false" outlineLevel="0" collapsed="false">
      <c r="A2" s="7" t="s">
        <v>38</v>
      </c>
      <c r="B2" s="7" t="s">
        <v>391</v>
      </c>
      <c r="C2" s="7" t="s">
        <v>49</v>
      </c>
      <c r="D2" s="7" t="s">
        <v>50</v>
      </c>
    </row>
    <row r="3" customFormat="false" ht="15" hidden="false" customHeight="false" outlineLevel="0" collapsed="false">
      <c r="A3" s="7" t="s">
        <v>54</v>
      </c>
      <c r="B3" s="7" t="s">
        <v>392</v>
      </c>
      <c r="C3" s="7" t="s">
        <v>49</v>
      </c>
      <c r="D3" s="7" t="s">
        <v>50</v>
      </c>
    </row>
    <row r="4" customFormat="false" ht="15" hidden="false" customHeight="false" outlineLevel="0" collapsed="false">
      <c r="A4" s="7" t="s">
        <v>60</v>
      </c>
      <c r="B4" s="7" t="s">
        <v>393</v>
      </c>
      <c r="C4" s="7" t="s">
        <v>49</v>
      </c>
      <c r="D4" s="7" t="s">
        <v>50</v>
      </c>
    </row>
    <row r="5" customFormat="false" ht="15" hidden="false" customHeight="false" outlineLevel="0" collapsed="false">
      <c r="A5" s="7" t="s">
        <v>60</v>
      </c>
      <c r="B5" s="7" t="s">
        <v>394</v>
      </c>
      <c r="C5" s="7" t="s">
        <v>49</v>
      </c>
      <c r="D5" s="7" t="s">
        <v>50</v>
      </c>
    </row>
    <row r="6" customFormat="false" ht="15" hidden="false" customHeight="false" outlineLevel="0" collapsed="false">
      <c r="A6" s="7" t="s">
        <v>60</v>
      </c>
      <c r="B6" s="7" t="s">
        <v>395</v>
      </c>
      <c r="C6" s="7" t="s">
        <v>49</v>
      </c>
      <c r="D6" s="7" t="s">
        <v>50</v>
      </c>
    </row>
    <row r="7" customFormat="false" ht="15" hidden="false" customHeight="false" outlineLevel="0" collapsed="false">
      <c r="A7" s="7" t="s">
        <v>60</v>
      </c>
      <c r="B7" s="7" t="s">
        <v>396</v>
      </c>
      <c r="C7" s="7" t="s">
        <v>49</v>
      </c>
      <c r="D7" s="7" t="s">
        <v>50</v>
      </c>
    </row>
    <row r="8" customFormat="false" ht="15" hidden="false" customHeight="false" outlineLevel="0" collapsed="false">
      <c r="A8" s="7" t="s">
        <v>60</v>
      </c>
      <c r="B8" s="7" t="s">
        <v>397</v>
      </c>
      <c r="C8" s="7" t="s">
        <v>49</v>
      </c>
      <c r="D8" s="7" t="s">
        <v>50</v>
      </c>
    </row>
    <row r="9" customFormat="false" ht="15" hidden="false" customHeight="false" outlineLevel="0" collapsed="false">
      <c r="A9" s="7" t="s">
        <v>69</v>
      </c>
      <c r="B9" s="7" t="s">
        <v>397</v>
      </c>
      <c r="C9" s="7" t="s">
        <v>49</v>
      </c>
      <c r="D9" s="7" t="s">
        <v>50</v>
      </c>
    </row>
    <row r="10" customFormat="false" ht="15" hidden="false" customHeight="false" outlineLevel="0" collapsed="false">
      <c r="A10" s="7" t="s">
        <v>76</v>
      </c>
      <c r="B10" s="7" t="s">
        <v>396</v>
      </c>
      <c r="C10" s="7" t="s">
        <v>49</v>
      </c>
      <c r="D10" s="7" t="s">
        <v>50</v>
      </c>
    </row>
    <row r="11" customFormat="false" ht="15" hidden="false" customHeight="false" outlineLevel="0" collapsed="false">
      <c r="A11" s="7" t="s">
        <v>80</v>
      </c>
      <c r="B11" s="7" t="s">
        <v>394</v>
      </c>
      <c r="C11" s="7" t="s">
        <v>49</v>
      </c>
      <c r="D11" s="7" t="s">
        <v>50</v>
      </c>
    </row>
    <row r="12" customFormat="false" ht="15" hidden="false" customHeight="false" outlineLevel="0" collapsed="false">
      <c r="A12" s="7" t="s">
        <v>86</v>
      </c>
      <c r="B12" s="7" t="s">
        <v>393</v>
      </c>
      <c r="C12" s="7" t="s">
        <v>49</v>
      </c>
      <c r="D12" s="7" t="s">
        <v>50</v>
      </c>
    </row>
    <row r="13" customFormat="false" ht="15" hidden="false" customHeight="false" outlineLevel="0" collapsed="false">
      <c r="A13" s="7" t="s">
        <v>92</v>
      </c>
      <c r="B13" s="7" t="s">
        <v>395</v>
      </c>
      <c r="C13" s="7" t="s">
        <v>49</v>
      </c>
      <c r="D13" s="7" t="s">
        <v>50</v>
      </c>
    </row>
    <row r="14" customFormat="false" ht="15" hidden="false" customHeight="false" outlineLevel="0" collapsed="false">
      <c r="A14" s="7" t="s">
        <v>97</v>
      </c>
      <c r="B14" s="7" t="s">
        <v>393</v>
      </c>
      <c r="C14" s="7" t="s">
        <v>49</v>
      </c>
      <c r="D14" s="7" t="s">
        <v>50</v>
      </c>
    </row>
    <row r="15" customFormat="false" ht="15" hidden="false" customHeight="false" outlineLevel="0" collapsed="false">
      <c r="A15" s="7" t="s">
        <v>97</v>
      </c>
      <c r="B15" s="7" t="s">
        <v>394</v>
      </c>
      <c r="C15" s="7" t="s">
        <v>49</v>
      </c>
      <c r="D15" s="7" t="s">
        <v>50</v>
      </c>
    </row>
    <row r="16" customFormat="false" ht="15" hidden="false" customHeight="false" outlineLevel="0" collapsed="false">
      <c r="A16" s="7" t="s">
        <v>97</v>
      </c>
      <c r="B16" s="7" t="s">
        <v>395</v>
      </c>
      <c r="C16" s="7" t="s">
        <v>49</v>
      </c>
      <c r="D16" s="7" t="s">
        <v>50</v>
      </c>
    </row>
    <row r="17" customFormat="false" ht="15" hidden="false" customHeight="false" outlineLevel="0" collapsed="false">
      <c r="A17" s="7" t="s">
        <v>97</v>
      </c>
      <c r="B17" s="7" t="s">
        <v>396</v>
      </c>
      <c r="C17" s="7" t="s">
        <v>49</v>
      </c>
      <c r="D17" s="7" t="s">
        <v>50</v>
      </c>
    </row>
    <row r="18" customFormat="false" ht="15" hidden="false" customHeight="false" outlineLevel="0" collapsed="false">
      <c r="A18" s="7" t="s">
        <v>97</v>
      </c>
      <c r="B18" s="7" t="s">
        <v>397</v>
      </c>
      <c r="C18" s="7" t="s">
        <v>49</v>
      </c>
      <c r="D18" s="7" t="s">
        <v>50</v>
      </c>
    </row>
    <row r="19" customFormat="false" ht="15" hidden="false" customHeight="false" outlineLevel="0" collapsed="false">
      <c r="A19" s="7" t="s">
        <v>106</v>
      </c>
      <c r="B19" s="7" t="s">
        <v>398</v>
      </c>
      <c r="C19" s="7" t="s">
        <v>49</v>
      </c>
      <c r="D19" s="7" t="s">
        <v>50</v>
      </c>
    </row>
    <row r="20" customFormat="false" ht="15" hidden="false" customHeight="false" outlineLevel="0" collapsed="false">
      <c r="A20" s="7" t="s">
        <v>113</v>
      </c>
      <c r="B20" s="7" t="s">
        <v>399</v>
      </c>
      <c r="C20" s="7" t="s">
        <v>119</v>
      </c>
      <c r="D20" s="7" t="s">
        <v>120</v>
      </c>
    </row>
    <row r="21" customFormat="false" ht="15" hidden="false" customHeight="false" outlineLevel="0" collapsed="false">
      <c r="A21" s="7" t="s">
        <v>113</v>
      </c>
      <c r="B21" s="7" t="s">
        <v>400</v>
      </c>
      <c r="C21" s="7" t="s">
        <v>119</v>
      </c>
      <c r="D21" s="7" t="s">
        <v>120</v>
      </c>
    </row>
    <row r="22" customFormat="false" ht="15" hidden="false" customHeight="false" outlineLevel="0" collapsed="false">
      <c r="A22" s="7" t="s">
        <v>124</v>
      </c>
      <c r="B22" s="7" t="s">
        <v>401</v>
      </c>
      <c r="C22" s="7" t="s">
        <v>49</v>
      </c>
      <c r="D22" s="7" t="s">
        <v>50</v>
      </c>
    </row>
    <row r="23" customFormat="false" ht="15" hidden="false" customHeight="false" outlineLevel="0" collapsed="false">
      <c r="A23" s="7" t="s">
        <v>124</v>
      </c>
      <c r="B23" s="7" t="s">
        <v>402</v>
      </c>
      <c r="C23" s="7" t="s">
        <v>49</v>
      </c>
      <c r="D23" s="7" t="s">
        <v>50</v>
      </c>
    </row>
    <row r="24" customFormat="false" ht="15" hidden="false" customHeight="false" outlineLevel="0" collapsed="false">
      <c r="A24" s="7" t="s">
        <v>131</v>
      </c>
      <c r="B24" s="7" t="s">
        <v>403</v>
      </c>
      <c r="C24" s="7" t="s">
        <v>119</v>
      </c>
      <c r="D24" s="7" t="s">
        <v>120</v>
      </c>
    </row>
    <row r="25" customFormat="false" ht="15" hidden="false" customHeight="false" outlineLevel="0" collapsed="false">
      <c r="A25" s="7" t="s">
        <v>131</v>
      </c>
      <c r="B25" s="7" t="s">
        <v>400</v>
      </c>
      <c r="C25" s="7" t="s">
        <v>119</v>
      </c>
      <c r="D25" s="7" t="s">
        <v>120</v>
      </c>
    </row>
    <row r="26" customFormat="false" ht="15" hidden="false" customHeight="false" outlineLevel="0" collapsed="false">
      <c r="A26" s="7" t="s">
        <v>136</v>
      </c>
      <c r="B26" s="7" t="s">
        <v>392</v>
      </c>
      <c r="C26" s="7" t="s">
        <v>49</v>
      </c>
      <c r="D26" s="7" t="s">
        <v>50</v>
      </c>
    </row>
    <row r="27" customFormat="false" ht="15" hidden="false" customHeight="false" outlineLevel="0" collapsed="false">
      <c r="A27" s="7" t="s">
        <v>136</v>
      </c>
      <c r="B27" s="7" t="s">
        <v>398</v>
      </c>
      <c r="C27" s="7" t="s">
        <v>49</v>
      </c>
      <c r="D27" s="7" t="s">
        <v>50</v>
      </c>
    </row>
    <row r="28" customFormat="false" ht="15" hidden="false" customHeight="false" outlineLevel="0" collapsed="false">
      <c r="A28" s="7" t="s">
        <v>143</v>
      </c>
      <c r="B28" s="7" t="s">
        <v>401</v>
      </c>
      <c r="C28" s="7" t="s">
        <v>49</v>
      </c>
      <c r="D28" s="7" t="s">
        <v>50</v>
      </c>
    </row>
    <row r="29" customFormat="false" ht="15" hidden="false" customHeight="false" outlineLevel="0" collapsed="false">
      <c r="A29" s="7" t="s">
        <v>148</v>
      </c>
      <c r="B29" s="7" t="s">
        <v>404</v>
      </c>
      <c r="C29" s="7" t="s">
        <v>49</v>
      </c>
      <c r="D29" s="7" t="s">
        <v>50</v>
      </c>
    </row>
    <row r="30" customFormat="false" ht="15" hidden="false" customHeight="false" outlineLevel="0" collapsed="false">
      <c r="A30" s="7" t="s">
        <v>154</v>
      </c>
      <c r="B30" s="7" t="s">
        <v>403</v>
      </c>
      <c r="C30" s="7" t="s">
        <v>119</v>
      </c>
      <c r="D30" s="7" t="s">
        <v>120</v>
      </c>
    </row>
    <row r="31" customFormat="false" ht="23.85" hidden="false" customHeight="false" outlineLevel="0" collapsed="false">
      <c r="A31" s="7" t="s">
        <v>160</v>
      </c>
      <c r="B31" s="7" t="s">
        <v>399</v>
      </c>
      <c r="C31" s="7" t="s">
        <v>119</v>
      </c>
      <c r="D31" s="7" t="s">
        <v>120</v>
      </c>
    </row>
    <row r="32" customFormat="false" ht="23.85" hidden="false" customHeight="false" outlineLevel="0" collapsed="false">
      <c r="A32" s="7" t="s">
        <v>165</v>
      </c>
      <c r="B32" s="7" t="s">
        <v>400</v>
      </c>
      <c r="C32" s="7" t="s">
        <v>119</v>
      </c>
      <c r="D32" s="7" t="s">
        <v>120</v>
      </c>
    </row>
    <row r="33" customFormat="false" ht="15" hidden="false" customHeight="false" outlineLevel="0" collapsed="false">
      <c r="A33" s="7" t="s">
        <v>170</v>
      </c>
      <c r="B33" s="7" t="s">
        <v>402</v>
      </c>
      <c r="C33" s="7" t="s">
        <v>49</v>
      </c>
      <c r="D33" s="7" t="s">
        <v>50</v>
      </c>
    </row>
    <row r="34" customFormat="false" ht="15" hidden="false" customHeight="false" outlineLevel="0" collapsed="false">
      <c r="A34" s="7" t="s">
        <v>175</v>
      </c>
      <c r="B34" s="7" t="s">
        <v>405</v>
      </c>
      <c r="C34" s="7" t="s">
        <v>193</v>
      </c>
      <c r="D34" s="7" t="s">
        <v>194</v>
      </c>
    </row>
    <row r="35" customFormat="false" ht="15" hidden="false" customHeight="false" outlineLevel="0" collapsed="false">
      <c r="A35" s="7" t="s">
        <v>175</v>
      </c>
      <c r="B35" s="7" t="s">
        <v>406</v>
      </c>
      <c r="C35" s="7" t="s">
        <v>212</v>
      </c>
      <c r="D35" s="7" t="s">
        <v>213</v>
      </c>
    </row>
    <row r="36" customFormat="false" ht="15" hidden="false" customHeight="false" outlineLevel="0" collapsed="false">
      <c r="A36" s="7" t="s">
        <v>187</v>
      </c>
      <c r="B36" s="7" t="s">
        <v>405</v>
      </c>
      <c r="C36" s="7" t="s">
        <v>193</v>
      </c>
      <c r="D36" s="7" t="s">
        <v>194</v>
      </c>
    </row>
    <row r="37" customFormat="false" ht="15" hidden="false" customHeight="false" outlineLevel="0" collapsed="false">
      <c r="A37" s="7" t="s">
        <v>196</v>
      </c>
      <c r="B37" s="7" t="s">
        <v>407</v>
      </c>
      <c r="C37" s="7" t="s">
        <v>193</v>
      </c>
      <c r="D37" s="7" t="s">
        <v>194</v>
      </c>
    </row>
    <row r="38" customFormat="false" ht="15" hidden="false" customHeight="false" outlineLevel="0" collapsed="false">
      <c r="A38" s="7" t="s">
        <v>207</v>
      </c>
      <c r="B38" s="7" t="s">
        <v>406</v>
      </c>
      <c r="C38" s="7" t="s">
        <v>212</v>
      </c>
      <c r="D38" s="7" t="s">
        <v>213</v>
      </c>
    </row>
    <row r="39" customFormat="false" ht="15" hidden="false" customHeight="false" outlineLevel="0" collapsed="false">
      <c r="A39" s="7" t="s">
        <v>215</v>
      </c>
      <c r="B39" s="7" t="s">
        <v>408</v>
      </c>
      <c r="C39" s="7" t="s">
        <v>212</v>
      </c>
      <c r="D39" s="7" t="s">
        <v>213</v>
      </c>
    </row>
    <row r="40" customFormat="false" ht="15" hidden="false" customHeight="false" outlineLevel="0" collapsed="false">
      <c r="A40" s="7" t="s">
        <v>215</v>
      </c>
      <c r="B40" s="7" t="s">
        <v>404</v>
      </c>
      <c r="C40" s="7" t="s">
        <v>49</v>
      </c>
      <c r="D40" s="7" t="s">
        <v>50</v>
      </c>
    </row>
    <row r="41" customFormat="false" ht="15" hidden="false" customHeight="false" outlineLevel="0" collapsed="false">
      <c r="A41" s="7" t="s">
        <v>226</v>
      </c>
      <c r="B41" s="7" t="s">
        <v>408</v>
      </c>
      <c r="C41" s="7" t="s">
        <v>212</v>
      </c>
      <c r="D41" s="7" t="s">
        <v>213</v>
      </c>
    </row>
    <row r="42" customFormat="false" ht="15" hidden="false" customHeight="false" outlineLevel="0" collapsed="false">
      <c r="A42" s="7" t="s">
        <v>226</v>
      </c>
      <c r="B42" s="7" t="s">
        <v>404</v>
      </c>
      <c r="C42" s="7" t="s">
        <v>49</v>
      </c>
      <c r="D42" s="7" t="s">
        <v>50</v>
      </c>
    </row>
    <row r="43" customFormat="false" ht="15" hidden="false" customHeight="false" outlineLevel="0" collapsed="false">
      <c r="A43" s="7" t="s">
        <v>226</v>
      </c>
      <c r="B43" s="7" t="s">
        <v>393</v>
      </c>
      <c r="C43" s="7" t="s">
        <v>49</v>
      </c>
      <c r="D43" s="7" t="s">
        <v>50</v>
      </c>
    </row>
    <row r="44" customFormat="false" ht="15" hidden="false" customHeight="false" outlineLevel="0" collapsed="false">
      <c r="A44" s="7" t="s">
        <v>226</v>
      </c>
      <c r="B44" s="7" t="s">
        <v>405</v>
      </c>
      <c r="C44" s="7" t="s">
        <v>193</v>
      </c>
      <c r="D44" s="7" t="s">
        <v>194</v>
      </c>
    </row>
    <row r="45" customFormat="false" ht="15" hidden="false" customHeight="false" outlineLevel="0" collapsed="false">
      <c r="A45" s="7" t="s">
        <v>226</v>
      </c>
      <c r="B45" s="7" t="s">
        <v>406</v>
      </c>
      <c r="C45" s="7" t="s">
        <v>212</v>
      </c>
      <c r="D45" s="7" t="s">
        <v>213</v>
      </c>
    </row>
    <row r="46" customFormat="false" ht="15" hidden="false" customHeight="false" outlineLevel="0" collapsed="false">
      <c r="A46" s="7" t="s">
        <v>233</v>
      </c>
      <c r="B46" s="7" t="s">
        <v>409</v>
      </c>
      <c r="C46" s="7" t="s">
        <v>238</v>
      </c>
      <c r="D46" s="7" t="s">
        <v>239</v>
      </c>
    </row>
    <row r="47" customFormat="false" ht="15" hidden="false" customHeight="false" outlineLevel="0" collapsed="false">
      <c r="A47" s="7" t="s">
        <v>240</v>
      </c>
      <c r="B47" s="7" t="s">
        <v>410</v>
      </c>
      <c r="C47" s="7" t="s">
        <v>238</v>
      </c>
      <c r="D47" s="7" t="s">
        <v>239</v>
      </c>
    </row>
    <row r="48" customFormat="false" ht="15" hidden="false" customHeight="false" outlineLevel="0" collapsed="false">
      <c r="A48" s="7" t="s">
        <v>245</v>
      </c>
      <c r="B48" s="7" t="s">
        <v>408</v>
      </c>
      <c r="C48" s="7" t="s">
        <v>212</v>
      </c>
      <c r="D48" s="7" t="s">
        <v>213</v>
      </c>
    </row>
    <row r="49" customFormat="false" ht="15" hidden="false" customHeight="false" outlineLevel="0" collapsed="false">
      <c r="A49" s="7" t="s">
        <v>251</v>
      </c>
      <c r="B49" s="7" t="s">
        <v>393</v>
      </c>
      <c r="C49" s="7" t="s">
        <v>49</v>
      </c>
      <c r="D49" s="7" t="s">
        <v>50</v>
      </c>
    </row>
    <row r="50" customFormat="false" ht="15" hidden="false" customHeight="false" outlineLevel="0" collapsed="false">
      <c r="A50" s="7" t="s">
        <v>251</v>
      </c>
      <c r="B50" s="7" t="s">
        <v>404</v>
      </c>
      <c r="C50" s="7" t="s">
        <v>49</v>
      </c>
      <c r="D50" s="7" t="s">
        <v>50</v>
      </c>
    </row>
    <row r="51" customFormat="false" ht="15" hidden="false" customHeight="false" outlineLevel="0" collapsed="false">
      <c r="A51" s="7" t="s">
        <v>256</v>
      </c>
      <c r="B51" s="7" t="s">
        <v>411</v>
      </c>
      <c r="C51" s="7" t="s">
        <v>265</v>
      </c>
      <c r="D51" s="7" t="s">
        <v>266</v>
      </c>
    </row>
    <row r="52" customFormat="false" ht="15" hidden="false" customHeight="false" outlineLevel="0" collapsed="false">
      <c r="A52" s="7" t="s">
        <v>270</v>
      </c>
      <c r="B52" s="7" t="s">
        <v>412</v>
      </c>
      <c r="C52" s="7" t="s">
        <v>275</v>
      </c>
      <c r="D52" s="7" t="s">
        <v>276</v>
      </c>
    </row>
    <row r="53" customFormat="false" ht="15" hidden="false" customHeight="false" outlineLevel="0" collapsed="false">
      <c r="A53" s="7" t="s">
        <v>278</v>
      </c>
      <c r="B53" s="7" t="s">
        <v>412</v>
      </c>
      <c r="C53" s="7" t="s">
        <v>275</v>
      </c>
      <c r="D53" s="7" t="s">
        <v>276</v>
      </c>
    </row>
    <row r="54" customFormat="false" ht="15" hidden="false" customHeight="false" outlineLevel="0" collapsed="false">
      <c r="A54" s="7" t="s">
        <v>278</v>
      </c>
      <c r="B54" s="7" t="s">
        <v>411</v>
      </c>
      <c r="C54" s="7" t="s">
        <v>265</v>
      </c>
      <c r="D54" s="7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2026-10-16T18:20:14Z</dcterms:created>
  <dc:creator>openpyxl</dc:creator>
  <dc:description/>
  <dc:language>en-US</dc:language>
  <cp:lastModifiedBy/>
  <dcterms:modified xsi:type="dcterms:W3CDTF">2026-10-16T18:20:14Z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